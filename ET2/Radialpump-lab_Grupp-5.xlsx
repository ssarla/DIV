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24226"/>
  <xr:revisionPtr revIDLastSave="0" documentId="8_{469FFC67-6F24-4F7F-9BBB-363A1D81C9A5}" xr6:coauthVersionLast="47" xr6:coauthVersionMax="47" xr10:uidLastSave="{00000000-0000-0000-0000-000000000000}"/>
  <bookViews>
    <workbookView xWindow="-105" yWindow="0" windowWidth="34605" windowHeight="21705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rpm">Sheet1!$L$44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5" i="1" l="1"/>
  <c r="B85" i="1"/>
  <c r="C84" i="1"/>
  <c r="B84" i="1"/>
  <c r="L72" i="1"/>
  <c r="K72" i="1"/>
  <c r="J72" i="1"/>
  <c r="I72" i="1"/>
  <c r="H72" i="1"/>
  <c r="E72" i="1"/>
  <c r="D72" i="1"/>
  <c r="C72" i="1"/>
  <c r="B72" i="1"/>
  <c r="A72" i="1"/>
  <c r="L71" i="1"/>
  <c r="K71" i="1"/>
  <c r="J71" i="1"/>
  <c r="I71" i="1"/>
  <c r="H71" i="1"/>
  <c r="E71" i="1"/>
  <c r="D71" i="1"/>
  <c r="C71" i="1"/>
  <c r="B71" i="1"/>
  <c r="A71" i="1"/>
  <c r="L70" i="1"/>
  <c r="K70" i="1"/>
  <c r="J70" i="1"/>
  <c r="I70" i="1"/>
  <c r="H70" i="1"/>
  <c r="E70" i="1"/>
  <c r="D70" i="1"/>
  <c r="C70" i="1"/>
  <c r="B70" i="1"/>
  <c r="A70" i="1"/>
  <c r="L69" i="1"/>
  <c r="K69" i="1"/>
  <c r="J69" i="1"/>
  <c r="I69" i="1"/>
  <c r="H69" i="1"/>
  <c r="E69" i="1"/>
  <c r="D69" i="1"/>
  <c r="C69" i="1"/>
  <c r="B69" i="1"/>
  <c r="A69" i="1"/>
  <c r="L68" i="1"/>
  <c r="K68" i="1"/>
  <c r="J68" i="1"/>
  <c r="I68" i="1"/>
  <c r="H68" i="1"/>
  <c r="E68" i="1"/>
  <c r="D68" i="1"/>
  <c r="C68" i="1"/>
  <c r="B68" i="1"/>
  <c r="A68" i="1"/>
  <c r="L67" i="1"/>
  <c r="K67" i="1"/>
  <c r="J67" i="1"/>
  <c r="I67" i="1"/>
  <c r="H67" i="1"/>
  <c r="E67" i="1"/>
  <c r="D67" i="1"/>
  <c r="C67" i="1"/>
  <c r="B67" i="1"/>
  <c r="A67" i="1"/>
  <c r="L66" i="1"/>
  <c r="K66" i="1"/>
  <c r="J66" i="1"/>
  <c r="I66" i="1"/>
  <c r="H66" i="1"/>
  <c r="E66" i="1"/>
  <c r="D66" i="1"/>
  <c r="C66" i="1"/>
  <c r="B66" i="1"/>
  <c r="A66" i="1"/>
  <c r="L65" i="1"/>
  <c r="K65" i="1"/>
  <c r="J65" i="1"/>
  <c r="I65" i="1"/>
  <c r="H65" i="1"/>
  <c r="E65" i="1"/>
  <c r="D65" i="1"/>
  <c r="C65" i="1"/>
  <c r="B65" i="1"/>
  <c r="A65" i="1"/>
  <c r="L64" i="1"/>
  <c r="K64" i="1"/>
  <c r="J64" i="1"/>
  <c r="I64" i="1"/>
  <c r="H64" i="1"/>
  <c r="E64" i="1"/>
  <c r="D64" i="1"/>
  <c r="C64" i="1"/>
  <c r="B64" i="1"/>
  <c r="A64" i="1"/>
  <c r="L63" i="1"/>
  <c r="K63" i="1"/>
  <c r="J63" i="1"/>
  <c r="I63" i="1"/>
  <c r="H63" i="1"/>
  <c r="E63" i="1"/>
  <c r="D63" i="1"/>
  <c r="C63" i="1"/>
  <c r="B63" i="1"/>
  <c r="A63" i="1"/>
  <c r="L57" i="1"/>
  <c r="K57" i="1"/>
  <c r="J57" i="1"/>
  <c r="I57" i="1"/>
  <c r="E57" i="1"/>
  <c r="D57" i="1"/>
  <c r="C57" i="1"/>
  <c r="B57" i="1"/>
  <c r="A57" i="1"/>
  <c r="L56" i="1"/>
  <c r="K56" i="1"/>
  <c r="J56" i="1"/>
  <c r="I56" i="1"/>
  <c r="E56" i="1"/>
  <c r="D56" i="1"/>
  <c r="C56" i="1"/>
  <c r="B56" i="1"/>
  <c r="A56" i="1"/>
  <c r="L55" i="1"/>
  <c r="K55" i="1"/>
  <c r="J55" i="1"/>
  <c r="I55" i="1"/>
  <c r="E55" i="1"/>
  <c r="D55" i="1"/>
  <c r="C55" i="1"/>
  <c r="B55" i="1"/>
  <c r="A55" i="1"/>
  <c r="L54" i="1"/>
  <c r="K54" i="1"/>
  <c r="J54" i="1"/>
  <c r="I54" i="1"/>
  <c r="E54" i="1"/>
  <c r="D54" i="1"/>
  <c r="C54" i="1"/>
  <c r="B54" i="1"/>
  <c r="A54" i="1"/>
  <c r="L53" i="1"/>
  <c r="K53" i="1"/>
  <c r="J53" i="1"/>
  <c r="I53" i="1"/>
  <c r="E53" i="1"/>
  <c r="D53" i="1"/>
  <c r="C53" i="1"/>
  <c r="B53" i="1"/>
  <c r="A53" i="1"/>
  <c r="L52" i="1"/>
  <c r="K52" i="1"/>
  <c r="J52" i="1"/>
  <c r="I52" i="1"/>
  <c r="E52" i="1"/>
  <c r="D52" i="1"/>
  <c r="C52" i="1"/>
  <c r="B52" i="1"/>
  <c r="A52" i="1"/>
  <c r="L51" i="1"/>
  <c r="K51" i="1"/>
  <c r="J51" i="1"/>
  <c r="I51" i="1"/>
  <c r="E51" i="1"/>
  <c r="D51" i="1"/>
  <c r="C51" i="1"/>
  <c r="B51" i="1"/>
  <c r="A51" i="1"/>
  <c r="L50" i="1"/>
  <c r="K50" i="1"/>
  <c r="J50" i="1"/>
  <c r="I50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L45" i="1"/>
  <c r="O41" i="1"/>
  <c r="N41" i="1"/>
  <c r="M41" i="1"/>
  <c r="L41" i="1"/>
  <c r="K41" i="1"/>
  <c r="J41" i="1"/>
  <c r="I41" i="1"/>
  <c r="H41" i="1"/>
  <c r="G41" i="1"/>
  <c r="O40" i="1"/>
  <c r="N40" i="1"/>
  <c r="M40" i="1"/>
  <c r="L40" i="1"/>
  <c r="K40" i="1"/>
  <c r="J40" i="1"/>
  <c r="I40" i="1"/>
  <c r="H40" i="1"/>
  <c r="G40" i="1"/>
  <c r="O39" i="1"/>
  <c r="N39" i="1"/>
  <c r="M39" i="1"/>
  <c r="L39" i="1"/>
  <c r="K39" i="1"/>
  <c r="J39" i="1"/>
  <c r="I39" i="1"/>
  <c r="H39" i="1"/>
  <c r="G39" i="1"/>
  <c r="O38" i="1"/>
  <c r="N38" i="1"/>
  <c r="M38" i="1"/>
  <c r="L38" i="1"/>
  <c r="K38" i="1"/>
  <c r="J38" i="1"/>
  <c r="I38" i="1"/>
  <c r="H38" i="1"/>
  <c r="G38" i="1"/>
  <c r="O37" i="1"/>
  <c r="N37" i="1"/>
  <c r="M37" i="1"/>
  <c r="L37" i="1"/>
  <c r="K37" i="1"/>
  <c r="J37" i="1"/>
  <c r="I37" i="1"/>
  <c r="H37" i="1"/>
  <c r="G37" i="1"/>
  <c r="O36" i="1"/>
  <c r="N36" i="1"/>
  <c r="M36" i="1"/>
  <c r="L36" i="1"/>
  <c r="K36" i="1"/>
  <c r="J36" i="1"/>
  <c r="I36" i="1"/>
  <c r="H36" i="1"/>
  <c r="G36" i="1"/>
  <c r="O35" i="1"/>
  <c r="N35" i="1"/>
  <c r="M35" i="1"/>
  <c r="L35" i="1"/>
  <c r="K35" i="1"/>
  <c r="J35" i="1"/>
  <c r="I35" i="1"/>
  <c r="H35" i="1"/>
  <c r="G35" i="1"/>
  <c r="O34" i="1"/>
  <c r="N34" i="1"/>
  <c r="M34" i="1"/>
  <c r="L34" i="1"/>
  <c r="K34" i="1"/>
  <c r="J34" i="1"/>
  <c r="I34" i="1"/>
  <c r="H34" i="1"/>
  <c r="G34" i="1"/>
  <c r="O33" i="1"/>
  <c r="N33" i="1"/>
  <c r="M33" i="1"/>
  <c r="L33" i="1"/>
  <c r="K33" i="1"/>
  <c r="J33" i="1"/>
  <c r="I33" i="1"/>
  <c r="H33" i="1"/>
  <c r="G33" i="1"/>
  <c r="O32" i="1"/>
  <c r="N32" i="1"/>
  <c r="M32" i="1"/>
  <c r="L32" i="1"/>
  <c r="K32" i="1"/>
  <c r="J32" i="1"/>
  <c r="I32" i="1"/>
  <c r="H32" i="1"/>
  <c r="G32" i="1"/>
  <c r="O26" i="1"/>
  <c r="N26" i="1"/>
  <c r="M26" i="1"/>
  <c r="L26" i="1"/>
  <c r="K26" i="1"/>
  <c r="J26" i="1"/>
  <c r="I26" i="1"/>
  <c r="H26" i="1"/>
  <c r="G26" i="1"/>
  <c r="O25" i="1"/>
  <c r="N25" i="1"/>
  <c r="M25" i="1"/>
  <c r="L25" i="1"/>
  <c r="K25" i="1"/>
  <c r="J25" i="1"/>
  <c r="I25" i="1"/>
  <c r="H25" i="1"/>
  <c r="G25" i="1"/>
  <c r="O24" i="1"/>
  <c r="N24" i="1"/>
  <c r="M24" i="1"/>
  <c r="L24" i="1"/>
  <c r="K24" i="1"/>
  <c r="J24" i="1"/>
  <c r="I24" i="1"/>
  <c r="H24" i="1"/>
  <c r="G24" i="1"/>
  <c r="O23" i="1"/>
  <c r="N23" i="1"/>
  <c r="M23" i="1"/>
  <c r="L23" i="1"/>
  <c r="K23" i="1"/>
  <c r="J23" i="1"/>
  <c r="I23" i="1"/>
  <c r="H23" i="1"/>
  <c r="G23" i="1"/>
  <c r="O22" i="1"/>
  <c r="N22" i="1"/>
  <c r="M22" i="1"/>
  <c r="L22" i="1"/>
  <c r="K22" i="1"/>
  <c r="J22" i="1"/>
  <c r="I22" i="1"/>
  <c r="H22" i="1"/>
  <c r="G22" i="1"/>
  <c r="O21" i="1"/>
  <c r="N21" i="1"/>
  <c r="M21" i="1"/>
  <c r="L21" i="1"/>
  <c r="K21" i="1"/>
  <c r="J21" i="1"/>
  <c r="I21" i="1"/>
  <c r="H21" i="1"/>
  <c r="G21" i="1"/>
  <c r="O20" i="1"/>
  <c r="N20" i="1"/>
  <c r="M20" i="1"/>
  <c r="L20" i="1"/>
  <c r="K20" i="1"/>
  <c r="J20" i="1"/>
  <c r="I20" i="1"/>
  <c r="H20" i="1"/>
  <c r="G20" i="1"/>
  <c r="O19" i="1"/>
  <c r="N19" i="1"/>
  <c r="M19" i="1"/>
  <c r="L19" i="1"/>
  <c r="K19" i="1"/>
  <c r="J19" i="1"/>
  <c r="I19" i="1"/>
  <c r="H19" i="1"/>
  <c r="G19" i="1"/>
  <c r="O18" i="1"/>
  <c r="N18" i="1"/>
  <c r="M18" i="1"/>
  <c r="L18" i="1"/>
  <c r="K18" i="1"/>
  <c r="J18" i="1"/>
  <c r="I18" i="1"/>
  <c r="H18" i="1"/>
  <c r="G18" i="1"/>
  <c r="O17" i="1"/>
  <c r="N17" i="1"/>
  <c r="M17" i="1"/>
  <c r="L17" i="1"/>
  <c r="K17" i="1"/>
  <c r="J17" i="1"/>
  <c r="I17" i="1"/>
  <c r="H17" i="1"/>
  <c r="G17" i="1"/>
  <c r="B10" i="1"/>
  <c r="J2" i="1"/>
  <c r="I2" i="1"/>
  <c r="H2" i="1"/>
  <c r="G2" i="1"/>
</calcChain>
</file>

<file path=xl/sharedStrings.xml><?xml version="1.0" encoding="utf-8"?>
<sst xmlns="http://schemas.openxmlformats.org/spreadsheetml/2006/main" count="233" uniqueCount="117">
  <si>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</si>
  <si>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</si>
  <si>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</si>
  <si>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</si>
  <si>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</si>
  <si>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</si>
  <si>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</si>
  <si>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</si>
  <si>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</si>
  <si>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</si>
  <si>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</si>
  <si>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</si>
  <si>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</si>
  <si>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</si>
  <si>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</si>
  <si>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</si>
  <si>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</si>
  <si>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</si>
  <si>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</si>
  <si>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</si>
  <si>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</si>
  <si>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</si>
  <si>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</si>
  <si>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</si>
  <si>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</si>
  <si>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</si>
  <si>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</si>
  <si>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</si>
  <si>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</si>
  <si>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</si>
  <si>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</si>
  <si>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</si>
  <si>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</si>
  <si>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</si>
  <si>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</si>
  <si>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</si>
  <si>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</si>
  <si>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</si>
  <si>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</si>
  <si>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</si>
  <si>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</si>
  <si>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</si>
  <si>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</si>
  <si>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</si>
  <si>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</si>
  <si>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</si>
  <si>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</si>
  <si>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</si>
  <si>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</si>
  <si>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</si>
  <si>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</si>
  <si>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</si>
  <si>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</si>
  <si>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</si>
  <si>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</si>
  <si>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</si>
  <si>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</si>
  <si>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</si>
  <si>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</si>
  <si>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</si>
  <si>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</si>
  <si>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</si>
  <si>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</si>
  <si>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</si>
  <si>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</si>
  <si>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</si>
  <si>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</si>
  <si>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</si>
  <si>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B. Pumpprestanda finjusterade till 1200 rpm, kap 2</t>
  </si>
  <si>
    <t>kap 4.2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</si>
  <si>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</si>
  <si>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</si>
  <si>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</si>
  <si>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</si>
  <si>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</si>
  <si>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</si>
  <si>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</si>
  <si>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</si>
  <si>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</si>
  <si>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</si>
  <si>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</si>
  <si>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</si>
  <si>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</si>
  <si>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</si>
  <si>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</si>
  <si>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</si>
  <si>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</si>
  <si>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</si>
  <si>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</si>
  <si>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</si>
  <si>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</si>
  <si>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</si>
  <si>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</si>
  <si>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</si>
  <si>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</si>
  <si>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</si>
  <si>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</si>
  <si>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</si>
  <si>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</si>
  <si>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</si>
  <si>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</si>
  <si>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</si>
  <si>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</si>
  <si>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</si>
  <si>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</si>
  <si>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</si>
  <si>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</si>
  <si>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</si>
  <si>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</si>
  <si>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</si>
  <si>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</si>
  <si>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</si>
  <si>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</si>
  <si>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Mätserie A. Mätvärden uppmätta i vid 1200 rpm +-3%, kap 1</t>
  </si>
  <si>
    <t>Mätserie A. Pumpprestanda finjusterade till 1200 rpm, kap 2</t>
  </si>
  <si>
    <t>4.1 Flöde i systemet vid de två varvtalen (1200 resp 1200 rpm)</t>
  </si>
  <si>
    <t>Grupp 5: Emil Persson, Johan Hammar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</si>
</sst>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6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6" borderId="2" xfId="0" applyFont="1" applyFill="1" applyBorder="1" applyAlignment="1">
      <alignment horizontal="center"/>
    </xf>
    <xf numFmtId="10" fontId="3" fillId="6" borderId="2" xfId="1" applyNumberFormat="1" applyFont="1" applyFill="1" applyBorder="1" applyAlignment="1">
      <alignment horizontal="center"/>
    </xf>
    <xf numFmtId="2" fontId="3" fillId="3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3" borderId="2" xfId="1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2" fontId="3" fillId="2" borderId="2" xfId="0" applyNumberFormat="1" applyFont="1" applyFill="1" applyBorder="1" applyAlignment="1">
      <alignment horizontal="center"/>
    </xf>
    <xf numFmtId="166" fontId="3" fillId="3" borderId="2" xfId="1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Vridmoment som funktion av eftersläpning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Mätserie 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Sheet1!$I$17:$I$26</c:f>
              <c:numCache>
                <c:formatCode>0.00%</c:formatCode>
                <c:ptCount val="10"/>
                <c:pt idx="0">
                  <c:v>5.3992611537368451E-2</c:v>
                </c:pt>
                <c:pt idx="1">
                  <c:v>5.2998010798522399E-2</c:v>
                </c:pt>
                <c:pt idx="2">
                  <c:v>5.18613242398408E-2</c:v>
                </c:pt>
                <c:pt idx="3">
                  <c:v>5.1577152600170484E-2</c:v>
                </c:pt>
                <c:pt idx="4">
                  <c:v>5.0736961451247176E-2</c:v>
                </c:pt>
                <c:pt idx="5">
                  <c:v>4.7335600907029596E-2</c:v>
                </c:pt>
                <c:pt idx="6">
                  <c:v>4.5634920634920695E-2</c:v>
                </c:pt>
                <c:pt idx="7">
                  <c:v>4.3934240362811905E-2</c:v>
                </c:pt>
                <c:pt idx="8">
                  <c:v>4.1383219954648554E-2</c:v>
                </c:pt>
                <c:pt idx="9">
                  <c:v>3.8548752834467015E-2</c:v>
                </c:pt>
              </c:numCache>
            </c:numRef>
          </c:xVal>
          <c:yVal>
            <c:numRef>
              <c:f>Sheet1!$J$17:$J$26</c:f>
              <c:numCache>
                <c:formatCode>0.000</c:formatCode>
                <c:ptCount val="10"/>
                <c:pt idx="0">
                  <c:v>1.3440746400000003</c:v>
                </c:pt>
                <c:pt idx="1">
                  <c:v>1.3423153800000001</c:v>
                </c:pt>
                <c:pt idx="2">
                  <c:v>1.3229635200000003</c:v>
                </c:pt>
                <c:pt idx="3">
                  <c:v>1.3018524000000002</c:v>
                </c:pt>
                <c:pt idx="4">
                  <c:v>1.2279634800000001</c:v>
                </c:pt>
                <c:pt idx="5">
                  <c:v>1.1663893800000003</c:v>
                </c:pt>
                <c:pt idx="6">
                  <c:v>1.1259264000000002</c:v>
                </c:pt>
                <c:pt idx="7">
                  <c:v>1.0872226800000002</c:v>
                </c:pt>
                <c:pt idx="8">
                  <c:v>1.0379634</c:v>
                </c:pt>
                <c:pt idx="9">
                  <c:v>0.98518560000000022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F-4EE5-A983-0E39978DE3F2}"/>
            </c:ext>
          </c:extLst>
        </c:ser>
        <c:ser>
          <c:idx val="1"/>
          <c:order val="1"/>
          <c:tx>
            <c:v>Mätserie 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Sheet1!$I$32:$I$41</c:f>
              <c:numCache>
                <c:formatCode>0.00%</c:formatCode>
                <c:ptCount val="10"/>
                <c:pt idx="0">
                  <c:v>5.1828186013489486E-2</c:v>
                </c:pt>
                <c:pt idx="1">
                  <c:v>5.0763223287184855E-2</c:v>
                </c:pt>
                <c:pt idx="2">
                  <c:v>5.0053248136315176E-2</c:v>
                </c:pt>
                <c:pt idx="3">
                  <c:v>4.5970891018814353E-2</c:v>
                </c:pt>
                <c:pt idx="4">
                  <c:v>4.7035853745118872E-2</c:v>
                </c:pt>
                <c:pt idx="5">
                  <c:v>4.6325878594249192E-2</c:v>
                </c:pt>
                <c:pt idx="6">
                  <c:v>4.4373446929357407E-2</c:v>
                </c:pt>
                <c:pt idx="7">
                  <c:v>4.2598509052183209E-2</c:v>
                </c:pt>
                <c:pt idx="8">
                  <c:v>4.3878273177636262E-2</c:v>
                </c:pt>
                <c:pt idx="9">
                  <c:v>4.1401273885350309E-2</c:v>
                </c:pt>
              </c:numCache>
            </c:numRef>
          </c:xVal>
          <c:yVal>
            <c:numRef>
              <c:f>Sheet1!$J$32:$J$41</c:f>
              <c:numCache>
                <c:formatCode>0.000</c:formatCode>
                <c:ptCount val="10"/>
                <c:pt idx="0">
                  <c:v>0.98518560000000022</c:v>
                </c:pt>
                <c:pt idx="1">
                  <c:v>0.97638930000000013</c:v>
                </c:pt>
                <c:pt idx="2">
                  <c:v>0.95879670000000017</c:v>
                </c:pt>
                <c:pt idx="3">
                  <c:v>0.93768558000000013</c:v>
                </c:pt>
                <c:pt idx="4">
                  <c:v>0.92361150000000014</c:v>
                </c:pt>
                <c:pt idx="5">
                  <c:v>0.8972226000000002</c:v>
                </c:pt>
                <c:pt idx="6">
                  <c:v>0.87963000000000013</c:v>
                </c:pt>
                <c:pt idx="7">
                  <c:v>0.84972258000000001</c:v>
                </c:pt>
                <c:pt idx="8">
                  <c:v>0.81101886000000023</c:v>
                </c:pt>
                <c:pt idx="9">
                  <c:v>0.77407440000000016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8E-4A20-8E83-B4EB3C150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4816"/>
        <c:axId val="147472496"/>
      </c:scatterChart>
      <c:valAx>
        <c:axId val="147464816"/>
        <c:scaling>
          <c:orientation val="minMax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Eftersläpning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72496"/>
        <c:crosses val="autoZero"/>
        <c:crossBetween val="midCat"/>
      </c:valAx>
      <c:valAx>
        <c:axId val="14747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Vridmoment</a:t>
                </a:r>
                <a:r>
                  <a:rPr lang="sv-SE" baseline="0"/>
                  <a:t> (Nm)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64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572437511143886"/>
          <c:y val="0.10404488586199889"/>
          <c:w val="0.10890210974415881"/>
          <c:h val="8.1476285790863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Verkningsgrad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Sheet1!$E$48:$E$57</c:f>
              <c:numCache>
                <c:formatCode>0.0%</c:formatCode>
                <c:ptCount val="10"/>
                <c:pt idx="0">
                  <c:v>0.36379363618874266</c:v>
                </c:pt>
                <c:pt idx="1">
                  <c:v>0.44116699368670798</c:v>
                </c:pt>
                <c:pt idx="2">
                  <c:v>0.4620579703517288</c:v>
                </c:pt>
                <c:pt idx="3">
                  <c:v>0.46705604223955755</c:v>
                </c:pt>
                <c:pt idx="4">
                  <c:v>0.46269080566796272</c:v>
                </c:pt>
                <c:pt idx="5">
                  <c:v>0.44636450474985923</c:v>
                </c:pt>
                <c:pt idx="6">
                  <c:v>0.42159651371654933</c:v>
                </c:pt>
                <c:pt idx="7">
                  <c:v>0.39753712884870857</c:v>
                </c:pt>
                <c:pt idx="8">
                  <c:v>0.36539255608693993</c:v>
                </c:pt>
                <c:pt idx="9">
                  <c:v>0.33749890367967239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E-4012-A14D-2A4A0C83A15A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Sheet1!$E$63:$E$72</c:f>
              <c:numCache>
                <c:formatCode>0.0%</c:formatCode>
                <c:ptCount val="10"/>
                <c:pt idx="0">
                  <c:v>0.35330684261725664</c:v>
                </c:pt>
                <c:pt idx="1">
                  <c:v>0.38077472343869462</c:v>
                </c:pt>
                <c:pt idx="2">
                  <c:v>0.41003342107309709</c:v>
                </c:pt>
                <c:pt idx="3">
                  <c:v>0.43019209347185644</c:v>
                </c:pt>
                <c:pt idx="4">
                  <c:v>0.42885635037256481</c:v>
                </c:pt>
                <c:pt idx="5">
                  <c:v>0.42022074112982172</c:v>
                </c:pt>
                <c:pt idx="6">
                  <c:v>0.39670289970810119</c:v>
                </c:pt>
                <c:pt idx="7">
                  <c:v>0.37992085773689571</c:v>
                </c:pt>
                <c:pt idx="8">
                  <c:v>0.35188066580996946</c:v>
                </c:pt>
                <c:pt idx="9">
                  <c:v>0.31117465260340582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5E-4012-A14D-2A4A0C83A15A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Sheet1!$L$63:$L$72</c:f>
              <c:numCache>
                <c:formatCode>0.0%</c:formatCode>
                <c:ptCount val="10"/>
                <c:pt idx="0">
                  <c:v>0.35330684261725653</c:v>
                </c:pt>
                <c:pt idx="1">
                  <c:v>0.38077472343869462</c:v>
                </c:pt>
                <c:pt idx="2">
                  <c:v>0.41003342107309709</c:v>
                </c:pt>
                <c:pt idx="3">
                  <c:v>0.4301920934718565</c:v>
                </c:pt>
                <c:pt idx="4">
                  <c:v>0.42885635037256475</c:v>
                </c:pt>
                <c:pt idx="5">
                  <c:v>0.42022074112982177</c:v>
                </c:pt>
                <c:pt idx="6">
                  <c:v>0.39670289970810119</c:v>
                </c:pt>
                <c:pt idx="7">
                  <c:v>0.37992085773689566</c:v>
                </c:pt>
                <c:pt idx="8">
                  <c:v>0.35188066580996941</c:v>
                </c:pt>
                <c:pt idx="9">
                  <c:v>0.31117465260340577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5E-4012-A14D-2A4A0C83A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Verkningsgrad</a:t>
                </a:r>
                <a:r>
                  <a:rPr lang="sv-SE" baseline="0"/>
                  <a:t>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Uppfordringshöjd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Sheet1!$B$48:$B$57</c:f>
              <c:numCache>
                <c:formatCode>0.000</c:formatCode>
                <c:ptCount val="10"/>
                <c:pt idx="0">
                  <c:v>2.7150694945412757</c:v>
                </c:pt>
                <c:pt idx="1">
                  <c:v>3.6640096380168408</c:v>
                </c:pt>
                <c:pt idx="2">
                  <c:v>4.073127891461227</c:v>
                </c:pt>
                <c:pt idx="3">
                  <c:v>4.4635026767417019</c:v>
                </c:pt>
                <c:pt idx="4">
                  <c:v>5.1805966351479329</c:v>
                </c:pt>
                <c:pt idx="5">
                  <c:v>5.5676926564052183</c:v>
                </c:pt>
                <c:pt idx="6">
                  <c:v>5.7108608817935247</c:v>
                </c:pt>
                <c:pt idx="7">
                  <c:v>5.8498306030139506</c:v>
                </c:pt>
                <c:pt idx="8">
                  <c:v>5.973186981911609</c:v>
                </c:pt>
                <c:pt idx="9">
                  <c:v>6.0003453692180724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09-4ACA-A6D8-77C0E967E066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Sheet1!$B$63:$B$72</c:f>
              <c:numCache>
                <c:formatCode>0.000</c:formatCode>
                <c:ptCount val="10"/>
                <c:pt idx="0">
                  <c:v>1.9452054144732032</c:v>
                </c:pt>
                <c:pt idx="1">
                  <c:v>2.2599733734672474</c:v>
                </c:pt>
                <c:pt idx="2">
                  <c:v>2.5946186722645717</c:v>
                </c:pt>
                <c:pt idx="3">
                  <c:v>2.9118264014121946</c:v>
                </c:pt>
                <c:pt idx="4">
                  <c:v>3.1549971800717365</c:v>
                </c:pt>
                <c:pt idx="5">
                  <c:v>3.3072547467102695</c:v>
                </c:pt>
                <c:pt idx="6">
                  <c:v>3.4544938078676126</c:v>
                </c:pt>
                <c:pt idx="7">
                  <c:v>3.608242001526845</c:v>
                </c:pt>
                <c:pt idx="8">
                  <c:v>3.662264016774023</c:v>
                </c:pt>
                <c:pt idx="9">
                  <c:v>3.7935978686435008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09-4ACA-A6D8-77C0E967E066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Sheet1!$I$63:$I$72</c:f>
              <c:numCache>
                <c:formatCode>0.000</c:formatCode>
                <c:ptCount val="10"/>
                <c:pt idx="0">
                  <c:v>2.4315067680915039</c:v>
                </c:pt>
                <c:pt idx="1">
                  <c:v>2.8249667168340591</c:v>
                </c:pt>
                <c:pt idx="2">
                  <c:v>3.2432733403307146</c:v>
                </c:pt>
                <c:pt idx="3">
                  <c:v>3.6397830017652431</c:v>
                </c:pt>
                <c:pt idx="4">
                  <c:v>3.9437464750896702</c:v>
                </c:pt>
                <c:pt idx="5">
                  <c:v>4.1340684333878368</c:v>
                </c:pt>
                <c:pt idx="6">
                  <c:v>4.3181172598345157</c:v>
                </c:pt>
                <c:pt idx="7">
                  <c:v>4.5103025019085559</c:v>
                </c:pt>
                <c:pt idx="8">
                  <c:v>4.5778300209675287</c:v>
                </c:pt>
                <c:pt idx="9">
                  <c:v>4.7419973358043759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09-4ACA-A6D8-77C0E967E066}"/>
            </c:ext>
          </c:extLst>
        </c:ser>
        <c:ser>
          <c:idx val="3"/>
          <c:order val="3"/>
          <c:tx>
            <c:v>Maximal teoretisk uppfordringshöjd: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Sheet1!$H$50:$H$57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</c:numCache>
            </c:numRef>
          </c:xVal>
          <c:yVal>
            <c:numRef>
              <c:f>Sheet1!$L$50:$L$57</c:f>
              <c:numCache>
                <c:formatCode>0.000</c:formatCode>
                <c:ptCount val="8"/>
                <c:pt idx="0">
                  <c:v>7.5642459066536194</c:v>
                </c:pt>
                <c:pt idx="1">
                  <c:v>7.2973299465733215</c:v>
                </c:pt>
                <c:pt idx="2">
                  <c:v>7.03041398649302</c:v>
                </c:pt>
                <c:pt idx="3">
                  <c:v>6.7634980264127211</c:v>
                </c:pt>
                <c:pt idx="4">
                  <c:v>6.4965820663324214</c:v>
                </c:pt>
                <c:pt idx="5">
                  <c:v>6.2296661062521217</c:v>
                </c:pt>
                <c:pt idx="6">
                  <c:v>5.9627501461718229</c:v>
                </c:pt>
                <c:pt idx="7">
                  <c:v>5.6958341860915231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2C-47D1-B91E-A5E44B8BB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Uppfodringshöjd (m)</a:t>
                </a:r>
                <a:endParaRPr lang="sv-SE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74053861789655"/>
          <c:y val="0.10811445399916456"/>
          <c:w val="0.28725952937103788"/>
          <c:h val="0.609669253893490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Axeleffekt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Sheet1!$D$48:$D$57</c:f>
              <c:numCache>
                <c:formatCode>0.00</c:formatCode>
                <c:ptCount val="10"/>
                <c:pt idx="0">
                  <c:v>316.69012611752606</c:v>
                </c:pt>
                <c:pt idx="1">
                  <c:v>316.27561024564432</c:v>
                </c:pt>
                <c:pt idx="2">
                  <c:v>311.71593565494709</c:v>
                </c:pt>
                <c:pt idx="3">
                  <c:v>306.74174519236811</c:v>
                </c:pt>
                <c:pt idx="4">
                  <c:v>289.33207857334185</c:v>
                </c:pt>
                <c:pt idx="5">
                  <c:v>274.82402305748656</c:v>
                </c:pt>
                <c:pt idx="6">
                  <c:v>265.29015800421024</c:v>
                </c:pt>
                <c:pt idx="7">
                  <c:v>256.1708088228155</c:v>
                </c:pt>
                <c:pt idx="8">
                  <c:v>244.56436441013128</c:v>
                </c:pt>
                <c:pt idx="9">
                  <c:v>232.12888825368395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46E-B56C-08F19FA9332B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Sheet1!$D$63:$D$72</c:f>
              <c:numCache>
                <c:formatCode>0.00</c:formatCode>
                <c:ptCount val="10"/>
                <c:pt idx="0">
                  <c:v>185.70311060294719</c:v>
                </c:pt>
                <c:pt idx="1">
                  <c:v>184.0450471154208</c:v>
                </c:pt>
                <c:pt idx="2">
                  <c:v>180.72892014036827</c:v>
                </c:pt>
                <c:pt idx="3">
                  <c:v>176.74956777030508</c:v>
                </c:pt>
                <c:pt idx="4">
                  <c:v>174.09666619026299</c:v>
                </c:pt>
                <c:pt idx="5">
                  <c:v>169.12247572768405</c:v>
                </c:pt>
                <c:pt idx="6">
                  <c:v>165.80634875263141</c:v>
                </c:pt>
                <c:pt idx="7">
                  <c:v>160.16893289504193</c:v>
                </c:pt>
                <c:pt idx="8">
                  <c:v>152.87345354992615</c:v>
                </c:pt>
                <c:pt idx="9">
                  <c:v>145.90958690231565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46E-B56C-08F19FA9332B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Sheet1!$K$63:$K$72</c:f>
              <c:numCache>
                <c:formatCode>0.00</c:formatCode>
                <c:ptCount val="10"/>
                <c:pt idx="0">
                  <c:v>232.12888825368404</c:v>
                </c:pt>
                <c:pt idx="1">
                  <c:v>230.05630889427601</c:v>
                </c:pt>
                <c:pt idx="2">
                  <c:v>225.91115017546034</c:v>
                </c:pt>
                <c:pt idx="3">
                  <c:v>220.93695971288133</c:v>
                </c:pt>
                <c:pt idx="4">
                  <c:v>217.62083273782875</c:v>
                </c:pt>
                <c:pt idx="5">
                  <c:v>211.40309465960505</c:v>
                </c:pt>
                <c:pt idx="6">
                  <c:v>207.25793594078925</c:v>
                </c:pt>
                <c:pt idx="7">
                  <c:v>200.21116611880242</c:v>
                </c:pt>
                <c:pt idx="8">
                  <c:v>191.09181693740771</c:v>
                </c:pt>
                <c:pt idx="9">
                  <c:v>182.38698362789458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10-446E-B56C-08F19FA93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Axeleffekt</a:t>
                </a:r>
                <a:r>
                  <a:rPr lang="sv-SE" baseline="0"/>
                  <a:t> (W)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666750</xdr:colOff>
      <xdr:row>14</xdr:row>
      <xdr:rowOff>165759</xdr:rowOff>
    </xdr:from>
    <xdr:to>
      <xdr:col>28</xdr:col>
      <xdr:colOff>13607</xdr:colOff>
      <xdr:row>39</xdr:row>
      <xdr:rowOff>149679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78788D-5395-56E2-2FF1-B4CB7EDC6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707570</xdr:colOff>
      <xdr:row>41</xdr:row>
      <xdr:rowOff>40824</xdr:rowOff>
    </xdr:from>
    <xdr:to>
      <xdr:col>27</xdr:col>
      <xdr:colOff>625928</xdr:colOff>
      <xdr:row>61</xdr:row>
      <xdr:rowOff>190501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67335D-1E4B-5E20-A8CB-EDC1DA66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721177</xdr:colOff>
      <xdr:row>63</xdr:row>
      <xdr:rowOff>59065</xdr:rowOff>
    </xdr:from>
    <xdr:to>
      <xdr:col>27</xdr:col>
      <xdr:colOff>606443</xdr:colOff>
      <xdr:row>85</xdr:row>
      <xdr:rowOff>54429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8D1268-D6F9-4D04-A062-518DD2FCE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741896</xdr:colOff>
      <xdr:row>86</xdr:row>
      <xdr:rowOff>115969</xdr:rowOff>
    </xdr:from>
    <xdr:to>
      <xdr:col>28</xdr:col>
      <xdr:colOff>13606</xdr:colOff>
      <xdr:row>108</xdr:row>
      <xdr:rowOff>204106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DAECEA-9B4C-4277-B0E4-A8FF5D514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D0D276-5BD5-4AB3-9093-ED2DA379A4EC}">
  <we:reference id="wa200010725" version="1.0.0.1" store="en-US" storeType="OMEX"/>
  <we:alternateReferences>
    <we:reference id="WA200010725" version="1.0.0.1" store="WA20001072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topLeftCell="A20" zoomScaleNormal="100" workbookViewId="0">
      <selection activeCell="E80" sqref="E80"/>
    </sheetView>
  </sheetViews>
  <sheetFormatPr defaultColWidth="9.28515625" defaultRowHeight="16.5" x14ac:dyDescent="0.3"/>
  <cols>
    <col min="1" max="1" width="20.7109375" style="3" customWidth="1"/>
    <col min="2" max="6" width="13.28515625" style="3" customWidth="1"/>
    <col min="7" max="8" width="15" style="3" customWidth="1"/>
    <col min="9" max="9" width="17.28515625" style="3" customWidth="1"/>
    <col min="10" max="10" width="19.42578125" style="3" customWidth="1"/>
    <col min="11" max="15" width="15" style="3" customWidth="1"/>
    <col min="16" max="20" width="11.5703125" style="3" customWidth="1"/>
    <col min="21" max="16384" width="9.28515625" style="3"/>
  </cols>
  <sheetData>
    <row r="1" spans="1:21" ht="18.75" x14ac:dyDescent="0.3">
      <c r="A1" s="1" t="s">
        <v>116</v>
      </c>
      <c r="B1" s="2"/>
      <c r="C1" s="2"/>
      <c r="D1" s="2"/>
      <c r="G1" s="4" t="s">
        <v>60</v>
      </c>
      <c r="H1" s="4" t="s">
        <v>61</v>
      </c>
      <c r="I1" s="10" t="s">
        <v>65</v>
      </c>
      <c r="J1" s="4" t="s">
        <v>66</v>
      </c>
    </row>
    <row r="2" spans="1:21" x14ac:dyDescent="0.3">
      <c r="E2" s="5"/>
      <c r="F2" s="6" t="s">
        <v>91</v>
      </c>
      <c r="G2" s="7">
        <f>AVERAGE(G5:G10)/1000</f>
        <v>0.17933333333333334</v>
      </c>
      <c r="H2" s="7">
        <f>AVERAGE(H5:H10)/1000</f>
        <v>0.13725000000000001</v>
      </c>
      <c r="I2" s="7">
        <f>AVERAGE(I5:I10)/1000</f>
        <v>6.0931666666666669E-2</v>
      </c>
      <c r="J2" s="7">
        <f>AVERAGE(J5:J10)/1000</f>
        <v>3.9126666666666664E-2</v>
      </c>
    </row>
    <row r="3" spans="1:21" ht="18" x14ac:dyDescent="0.3">
      <c r="A3" s="3" t="s">
        <v>64</v>
      </c>
      <c r="B3" s="8">
        <v>998.2</v>
      </c>
      <c r="C3" s="3" t="s">
        <v>103</v>
      </c>
    </row>
    <row r="4" spans="1:21" ht="18" x14ac:dyDescent="0.3">
      <c r="A4" s="3" t="s">
        <v>58</v>
      </c>
      <c r="B4" s="8">
        <v>9.81</v>
      </c>
      <c r="C4" s="3" t="s">
        <v>104</v>
      </c>
      <c r="E4" s="5"/>
      <c r="F4" s="5"/>
      <c r="G4" s="9"/>
      <c r="H4" s="9"/>
      <c r="I4" s="9"/>
      <c r="J4" s="9"/>
      <c r="U4" s="10"/>
    </row>
    <row r="5" spans="1:21" x14ac:dyDescent="0.3">
      <c r="E5" s="5"/>
      <c r="F5" s="10" t="s">
        <v>92</v>
      </c>
      <c r="G5" s="54">
        <v>179</v>
      </c>
      <c r="H5" s="54">
        <v>136</v>
      </c>
      <c r="I5" s="54">
        <v>60.9</v>
      </c>
      <c r="J5" s="55">
        <v>39.22</v>
      </c>
      <c r="U5" s="5"/>
    </row>
    <row r="6" spans="1:21" x14ac:dyDescent="0.3">
      <c r="A6" s="10" t="s">
        <v>59</v>
      </c>
      <c r="G6" s="54">
        <v>179</v>
      </c>
      <c r="H6" s="54">
        <v>142</v>
      </c>
      <c r="I6" s="54">
        <v>61.1</v>
      </c>
      <c r="J6" s="55">
        <v>39.119999999999997</v>
      </c>
      <c r="U6" s="5"/>
    </row>
    <row r="7" spans="1:21" x14ac:dyDescent="0.3">
      <c r="A7" s="3" t="s">
        <v>57</v>
      </c>
      <c r="B7" s="2">
        <v>0.1371</v>
      </c>
      <c r="C7" s="3" t="s">
        <v>13</v>
      </c>
      <c r="G7" s="54">
        <v>180</v>
      </c>
      <c r="H7" s="54">
        <v>135</v>
      </c>
      <c r="I7" s="54">
        <v>60.9</v>
      </c>
      <c r="J7" s="55">
        <v>38.96</v>
      </c>
    </row>
    <row r="8" spans="1:21" x14ac:dyDescent="0.3">
      <c r="A8" s="3" t="s">
        <v>63</v>
      </c>
      <c r="B8" s="2">
        <v>9.1000000000000004E-3</v>
      </c>
      <c r="C8" s="3" t="s">
        <v>13</v>
      </c>
      <c r="G8" s="54">
        <v>179.5</v>
      </c>
      <c r="H8" s="54">
        <v>136.5</v>
      </c>
      <c r="I8" s="54">
        <v>61.09</v>
      </c>
      <c r="J8" s="55">
        <v>39.1</v>
      </c>
    </row>
    <row r="9" spans="1:21" x14ac:dyDescent="0.3">
      <c r="A9" s="3" t="s">
        <v>105</v>
      </c>
      <c r="B9" s="2">
        <v>25</v>
      </c>
      <c r="C9" s="3" t="s">
        <v>62</v>
      </c>
      <c r="F9" s="12"/>
      <c r="G9" s="54">
        <v>179.5</v>
      </c>
      <c r="H9" s="54">
        <v>137</v>
      </c>
      <c r="I9" s="54">
        <v>60.8</v>
      </c>
      <c r="J9" s="55">
        <v>39.26</v>
      </c>
    </row>
    <row r="10" spans="1:21" x14ac:dyDescent="0.3">
      <c r="A10" s="5" t="s">
        <v>75</v>
      </c>
      <c r="B10" s="9">
        <f>PI()</f>
        <v>3.1415926535897931</v>
      </c>
      <c r="F10" s="12"/>
      <c r="G10" s="54">
        <v>179</v>
      </c>
      <c r="H10" s="54">
        <v>137</v>
      </c>
      <c r="I10" s="54">
        <v>60.8</v>
      </c>
      <c r="J10" s="55">
        <v>39.1</v>
      </c>
    </row>
    <row r="13" spans="1:21" x14ac:dyDescent="0.3">
      <c r="A13" s="13" t="s">
        <v>113</v>
      </c>
      <c r="G13" s="14" t="s">
        <v>89</v>
      </c>
    </row>
    <row r="14" spans="1:21" x14ac:dyDescent="0.3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8" x14ac:dyDescent="0.3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106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3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3">
      <c r="A17" s="11">
        <v>15600</v>
      </c>
      <c r="B17" s="54">
        <v>-5</v>
      </c>
      <c r="C17" s="11">
        <v>20</v>
      </c>
      <c r="D17" s="11">
        <v>6658</v>
      </c>
      <c r="E17" s="11">
        <v>764</v>
      </c>
      <c r="F17" s="11">
        <v>39.1</v>
      </c>
      <c r="G17" s="51">
        <f>D17/3</f>
        <v>2219.3333333333335</v>
      </c>
      <c r="H17" s="51">
        <f>G17/1.5</f>
        <v>1479.5555555555557</v>
      </c>
      <c r="I17" s="18">
        <f>1-(G17/(30*2*F17))</f>
        <v>5.3992611537368451E-2</v>
      </c>
      <c r="J17" s="52">
        <f>((E17/1000)*Tyngdacc)*Hävarm</f>
        <v>1.3440746400000003</v>
      </c>
      <c r="K17" s="51">
        <f>A17/1000</f>
        <v>15.6</v>
      </c>
      <c r="L17" s="52">
        <f t="shared" ref="L17:L26" si="0">delta_z+((C17-ABS(B17/10))*1000/(Densitet*Tyngdacc))+(((4*(K17/3600))/(π*PumpDiam_tryck^2))^2-((4*(K17/3600))/(π*PumpDiam_sug^2))^2)/(2*Tyngdacc)</f>
        <v>2.6780641029119727</v>
      </c>
      <c r="M17" s="51">
        <f t="shared" ref="M17:M26" si="1">Densitet*Tyngdacc*(K17/3600)*L17</f>
        <v>113.63958490576134</v>
      </c>
      <c r="N17" s="51">
        <f t="shared" ref="N17:N26" si="2">((G17*2*π)/60)*J17</f>
        <v>312.37375699118348</v>
      </c>
      <c r="O17" s="56">
        <f>M17/N17</f>
        <v>0.36379363618874272</v>
      </c>
    </row>
    <row r="18" spans="1:20" x14ac:dyDescent="0.3">
      <c r="A18" s="11">
        <v>14000</v>
      </c>
      <c r="B18" s="54">
        <v>2.5</v>
      </c>
      <c r="C18" s="11">
        <v>30</v>
      </c>
      <c r="D18" s="11">
        <v>6665</v>
      </c>
      <c r="E18" s="11">
        <v>763</v>
      </c>
      <c r="F18" s="11">
        <v>39.1</v>
      </c>
      <c r="G18" s="51">
        <f t="shared" ref="G18:G26" si="3">D18/3</f>
        <v>2221.6666666666665</v>
      </c>
      <c r="H18" s="51">
        <f t="shared" ref="H18:H26" si="4">G18/1.5</f>
        <v>1481.1111111111111</v>
      </c>
      <c r="I18" s="18">
        <f t="shared" ref="I18:I26" si="5">1-(G18/(30*2*F18))</f>
        <v>5.2998010798522399E-2</v>
      </c>
      <c r="J18" s="52">
        <f t="shared" ref="J18:J26" si="6">((E18/1000)*Tyngdacc)*Hävarm</f>
        <v>1.3423153800000001</v>
      </c>
      <c r="K18" s="51">
        <f t="shared" ref="K18:K26" si="7">A18/1000</f>
        <v>14</v>
      </c>
      <c r="L18" s="52">
        <f t="shared" si="0"/>
        <v>3.6178702573899622</v>
      </c>
      <c r="M18" s="51">
        <f t="shared" si="1"/>
        <v>137.7733111688521</v>
      </c>
      <c r="N18" s="51">
        <f t="shared" si="2"/>
        <v>312.29288033884734</v>
      </c>
      <c r="O18" s="56">
        <f t="shared" ref="O18:O26" si="8">M18/N18</f>
        <v>0.44116699368670792</v>
      </c>
    </row>
    <row r="19" spans="1:20" x14ac:dyDescent="0.3">
      <c r="A19" s="11">
        <v>13000</v>
      </c>
      <c r="B19" s="54">
        <v>6.5</v>
      </c>
      <c r="C19" s="11">
        <v>35</v>
      </c>
      <c r="D19" s="11">
        <v>6673</v>
      </c>
      <c r="E19" s="11">
        <v>752</v>
      </c>
      <c r="F19" s="11">
        <v>39.1</v>
      </c>
      <c r="G19" s="51">
        <f>D19/3</f>
        <v>2224.3333333333335</v>
      </c>
      <c r="H19" s="51">
        <f t="shared" si="4"/>
        <v>1482.8888888888889</v>
      </c>
      <c r="I19" s="18">
        <f t="shared" si="5"/>
        <v>5.18613242398408E-2</v>
      </c>
      <c r="J19" s="52">
        <f t="shared" si="6"/>
        <v>1.3229635200000003</v>
      </c>
      <c r="K19" s="51">
        <f t="shared" si="7"/>
        <v>13</v>
      </c>
      <c r="L19" s="52">
        <f t="shared" si="0"/>
        <v>4.0266640621808545</v>
      </c>
      <c r="M19" s="51">
        <f t="shared" si="1"/>
        <v>142.38781416883182</v>
      </c>
      <c r="N19" s="51">
        <f t="shared" si="2"/>
        <v>308.16006498154991</v>
      </c>
      <c r="O19" s="56">
        <f t="shared" si="8"/>
        <v>0.46205797035172885</v>
      </c>
    </row>
    <row r="20" spans="1:20" x14ac:dyDescent="0.3">
      <c r="A20" s="11">
        <v>11800</v>
      </c>
      <c r="B20" s="54">
        <v>12</v>
      </c>
      <c r="C20" s="11">
        <v>40</v>
      </c>
      <c r="D20" s="11">
        <v>6675</v>
      </c>
      <c r="E20" s="11">
        <v>740</v>
      </c>
      <c r="F20" s="11">
        <v>39.1</v>
      </c>
      <c r="G20" s="51">
        <f t="shared" si="3"/>
        <v>2225</v>
      </c>
      <c r="H20" s="51">
        <f t="shared" si="4"/>
        <v>1483.3333333333333</v>
      </c>
      <c r="I20" s="18">
        <f t="shared" si="5"/>
        <v>5.1577152600170484E-2</v>
      </c>
      <c r="J20" s="52">
        <f t="shared" si="6"/>
        <v>1.3018524000000002</v>
      </c>
      <c r="K20" s="51">
        <f t="shared" si="7"/>
        <v>11.8</v>
      </c>
      <c r="L20" s="52">
        <f t="shared" si="0"/>
        <v>4.4139082025556826</v>
      </c>
      <c r="M20" s="51">
        <f t="shared" si="1"/>
        <v>141.67374566032225</v>
      </c>
      <c r="N20" s="51">
        <f t="shared" si="2"/>
        <v>303.33350357911957</v>
      </c>
      <c r="O20" s="56">
        <f t="shared" si="8"/>
        <v>0.46705604223955755</v>
      </c>
    </row>
    <row r="21" spans="1:20" x14ac:dyDescent="0.3">
      <c r="A21" s="11">
        <v>9500</v>
      </c>
      <c r="B21" s="54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51">
        <f t="shared" si="3"/>
        <v>2232.6666666666665</v>
      </c>
      <c r="H21" s="51">
        <f t="shared" si="4"/>
        <v>1488.4444444444443</v>
      </c>
      <c r="I21" s="18">
        <f t="shared" si="5"/>
        <v>5.0736961451247176E-2</v>
      </c>
      <c r="J21" s="52">
        <f t="shared" si="6"/>
        <v>1.2279634800000001</v>
      </c>
      <c r="K21" s="51">
        <f t="shared" si="7"/>
        <v>9.5</v>
      </c>
      <c r="L21" s="52">
        <f t="shared" si="0"/>
        <v>5.1406868536623485</v>
      </c>
      <c r="M21" s="51">
        <f t="shared" si="1"/>
        <v>132.83998776852053</v>
      </c>
      <c r="N21" s="51">
        <f t="shared" si="2"/>
        <v>287.10314996803606</v>
      </c>
      <c r="O21" s="56">
        <f t="shared" si="8"/>
        <v>0.46269080566796272</v>
      </c>
    </row>
    <row r="22" spans="1:20" x14ac:dyDescent="0.3">
      <c r="A22" s="11">
        <v>8100</v>
      </c>
      <c r="B22" s="54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51">
        <f t="shared" si="3"/>
        <v>2240.6666666666665</v>
      </c>
      <c r="H22" s="51">
        <f t="shared" si="4"/>
        <v>1493.7777777777776</v>
      </c>
      <c r="I22" s="18">
        <f t="shared" si="5"/>
        <v>4.7335600907029596E-2</v>
      </c>
      <c r="J22" s="52">
        <f t="shared" si="6"/>
        <v>1.1663893800000003</v>
      </c>
      <c r="K22" s="51">
        <f t="shared" si="7"/>
        <v>8.1</v>
      </c>
      <c r="L22" s="52">
        <f t="shared" si="0"/>
        <v>5.5445970424230921</v>
      </c>
      <c r="M22" s="51">
        <f t="shared" si="1"/>
        <v>122.16282860608972</v>
      </c>
      <c r="N22" s="51">
        <f t="shared" si="2"/>
        <v>273.684012295174</v>
      </c>
      <c r="O22" s="56">
        <f t="shared" si="8"/>
        <v>0.44636450474985923</v>
      </c>
    </row>
    <row r="23" spans="1:20" x14ac:dyDescent="0.3">
      <c r="A23" s="11">
        <v>7200</v>
      </c>
      <c r="B23" s="54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51">
        <f t="shared" si="3"/>
        <v>2244.6666666666665</v>
      </c>
      <c r="H23" s="51">
        <f t="shared" si="4"/>
        <v>1496.4444444444443</v>
      </c>
      <c r="I23" s="18">
        <f t="shared" si="5"/>
        <v>4.5634920634920695E-2</v>
      </c>
      <c r="J23" s="52">
        <f t="shared" si="6"/>
        <v>1.1259264000000002</v>
      </c>
      <c r="K23" s="51">
        <f t="shared" si="7"/>
        <v>7.2</v>
      </c>
      <c r="L23" s="52">
        <f t="shared" si="0"/>
        <v>5.6973240263700138</v>
      </c>
      <c r="M23" s="51">
        <f t="shared" si="1"/>
        <v>111.5802907020644</v>
      </c>
      <c r="N23" s="51">
        <f t="shared" si="2"/>
        <v>264.66132207412619</v>
      </c>
      <c r="O23" s="56">
        <f t="shared" si="8"/>
        <v>0.42159651371654927</v>
      </c>
    </row>
    <row r="24" spans="1:20" x14ac:dyDescent="0.3">
      <c r="A24" s="11">
        <v>6400</v>
      </c>
      <c r="B24" s="54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51">
        <f t="shared" si="3"/>
        <v>2248.6666666666665</v>
      </c>
      <c r="H24" s="51">
        <f t="shared" si="4"/>
        <v>1499.1111111111111</v>
      </c>
      <c r="I24" s="18">
        <f t="shared" si="5"/>
        <v>4.3934240362811905E-2</v>
      </c>
      <c r="J24" s="52">
        <f t="shared" si="6"/>
        <v>1.0872226800000002</v>
      </c>
      <c r="K24" s="51">
        <f t="shared" si="7"/>
        <v>6.4</v>
      </c>
      <c r="L24" s="52">
        <f t="shared" si="0"/>
        <v>5.8463640367306828</v>
      </c>
      <c r="M24" s="51">
        <f t="shared" si="1"/>
        <v>101.77705974074206</v>
      </c>
      <c r="N24" s="51">
        <f t="shared" si="2"/>
        <v>256.01900389906865</v>
      </c>
      <c r="O24" s="56">
        <f t="shared" si="8"/>
        <v>0.39753712884870851</v>
      </c>
    </row>
    <row r="25" spans="1:20" x14ac:dyDescent="0.3">
      <c r="A25" s="11">
        <v>5500</v>
      </c>
      <c r="B25" s="54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51">
        <f t="shared" si="3"/>
        <v>2254.6666666666665</v>
      </c>
      <c r="H25" s="51">
        <f t="shared" si="4"/>
        <v>1503.1111111111111</v>
      </c>
      <c r="I25" s="18">
        <f t="shared" si="5"/>
        <v>4.1383219954648554E-2</v>
      </c>
      <c r="J25" s="52">
        <f t="shared" si="6"/>
        <v>1.0379634</v>
      </c>
      <c r="K25" s="51">
        <f t="shared" si="7"/>
        <v>5.5</v>
      </c>
      <c r="L25" s="52">
        <f t="shared" si="0"/>
        <v>5.9855758141703879</v>
      </c>
      <c r="M25" s="51">
        <f t="shared" si="1"/>
        <v>89.547341643351913</v>
      </c>
      <c r="N25" s="51">
        <f t="shared" si="2"/>
        <v>245.07160901779673</v>
      </c>
      <c r="O25" s="56">
        <f t="shared" si="8"/>
        <v>0.36539255608693993</v>
      </c>
    </row>
    <row r="26" spans="1:20" x14ac:dyDescent="0.3">
      <c r="A26" s="11">
        <v>4800</v>
      </c>
      <c r="B26" s="54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51">
        <f t="shared" si="3"/>
        <v>2261.3333333333335</v>
      </c>
      <c r="H26" s="51">
        <f t="shared" si="4"/>
        <v>1507.5555555555557</v>
      </c>
      <c r="I26" s="18">
        <f t="shared" si="5"/>
        <v>3.8548752834467015E-2</v>
      </c>
      <c r="J26" s="52">
        <f t="shared" si="6"/>
        <v>0.98518560000000022</v>
      </c>
      <c r="K26" s="51">
        <f t="shared" si="7"/>
        <v>4.8</v>
      </c>
      <c r="L26" s="52">
        <f t="shared" si="0"/>
        <v>6.0305693310778379</v>
      </c>
      <c r="M26" s="51">
        <f t="shared" si="1"/>
        <v>78.737863126167227</v>
      </c>
      <c r="N26" s="51">
        <f t="shared" si="2"/>
        <v>233.29813006118403</v>
      </c>
      <c r="O26" s="56">
        <f t="shared" si="8"/>
        <v>0.33749890367967239</v>
      </c>
    </row>
    <row r="27" spans="1:20" x14ac:dyDescent="0.3">
      <c r="E27" s="5"/>
      <c r="F27" s="5"/>
      <c r="G27" s="19"/>
      <c r="H27" s="19"/>
      <c r="I27" s="20"/>
      <c r="J27" s="21"/>
      <c r="K27" s="19"/>
      <c r="T27" s="22"/>
    </row>
    <row r="28" spans="1:20" x14ac:dyDescent="0.3">
      <c r="A28" s="13" t="s">
        <v>88</v>
      </c>
      <c r="G28" s="23" t="s">
        <v>90</v>
      </c>
    </row>
    <row r="29" spans="1:20" x14ac:dyDescent="0.3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8" x14ac:dyDescent="0.3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106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3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x14ac:dyDescent="0.3">
      <c r="A32" s="11">
        <v>12400</v>
      </c>
      <c r="B32" s="54">
        <v>9</v>
      </c>
      <c r="C32" s="11">
        <v>15</v>
      </c>
      <c r="D32" s="11">
        <v>5342</v>
      </c>
      <c r="E32" s="11">
        <v>560</v>
      </c>
      <c r="F32" s="11">
        <v>31.3</v>
      </c>
      <c r="G32" s="51">
        <f>D32/3</f>
        <v>1780.6666666666667</v>
      </c>
      <c r="H32" s="51">
        <f>G32/1.5</f>
        <v>1187.1111111111111</v>
      </c>
      <c r="I32" s="18">
        <f>1-(G32/(30*2*F32))</f>
        <v>5.1828186013489486E-2</v>
      </c>
      <c r="J32" s="52">
        <f t="shared" ref="J32:J41" si="9">((E32/1000)*Tyngdacc)*Hävarm</f>
        <v>0.98518560000000022</v>
      </c>
      <c r="K32" s="51">
        <f>A32/1000</f>
        <v>12.4</v>
      </c>
      <c r="L32" s="52">
        <f t="shared" ref="L32:L41" si="10">delta_z+((C32-ABS(B32/10))*1000/(Densitet*Tyngdacc))+(((4*(K32/3600))/(π*PumpDiam_tryck^2))^2-((4*(K32/3600))/(π*PumpDiam_sug^2))^2)/(2*Tyngdacc)</f>
        <v>1.9243124674288614</v>
      </c>
      <c r="M32" s="51">
        <f t="shared" ref="M32:M41" si="11">Densitet*Tyngdacc*(K32/3600)*L32</f>
        <v>64.905477741527278</v>
      </c>
      <c r="N32" s="51">
        <f t="shared" ref="N32:N41" si="12">((G32*2*π)/60)*J32</f>
        <v>183.70852163721185</v>
      </c>
      <c r="O32" s="56">
        <f>M32/N32</f>
        <v>0.35330684261725659</v>
      </c>
      <c r="P32" s="12"/>
      <c r="Q32" s="12"/>
      <c r="R32" s="12"/>
    </row>
    <row r="33" spans="1:18" x14ac:dyDescent="0.3">
      <c r="A33" s="11">
        <v>11400</v>
      </c>
      <c r="B33" s="54">
        <v>13</v>
      </c>
      <c r="C33" s="11">
        <v>19</v>
      </c>
      <c r="D33" s="11">
        <v>5348</v>
      </c>
      <c r="E33" s="11">
        <v>555</v>
      </c>
      <c r="F33" s="11">
        <v>31.3</v>
      </c>
      <c r="G33" s="51">
        <f t="shared" ref="G33:G41" si="13">D33/3</f>
        <v>1782.6666666666667</v>
      </c>
      <c r="H33" s="51">
        <f t="shared" ref="H33:H41" si="14">G33/1.5</f>
        <v>1188.4444444444446</v>
      </c>
      <c r="I33" s="18">
        <f t="shared" ref="I33:I41" si="15">1-(G33/(30*2*F33))</f>
        <v>5.0763223287184855E-2</v>
      </c>
      <c r="J33" s="52">
        <f t="shared" si="9"/>
        <v>0.97638930000000013</v>
      </c>
      <c r="K33" s="51">
        <f t="shared" ref="K33:K41" si="16">A33/1000</f>
        <v>11.4</v>
      </c>
      <c r="L33" s="52">
        <f t="shared" si="10"/>
        <v>2.2382106669079334</v>
      </c>
      <c r="M33" s="51">
        <f t="shared" si="11"/>
        <v>69.404860341633466</v>
      </c>
      <c r="N33" s="51">
        <f t="shared" si="12"/>
        <v>182.2727614765316</v>
      </c>
      <c r="O33" s="56">
        <f t="shared" ref="O33:O41" si="17">M33/N33</f>
        <v>0.38077472343869462</v>
      </c>
      <c r="P33" s="12"/>
      <c r="Q33" s="12"/>
      <c r="R33" s="12"/>
    </row>
    <row r="34" spans="1:18" x14ac:dyDescent="0.3">
      <c r="A34" s="11">
        <v>10500</v>
      </c>
      <c r="B34" s="54">
        <v>16</v>
      </c>
      <c r="C34" s="11">
        <v>23</v>
      </c>
      <c r="D34" s="11">
        <v>5352</v>
      </c>
      <c r="E34" s="11">
        <v>545</v>
      </c>
      <c r="F34" s="11">
        <v>31.3</v>
      </c>
      <c r="G34" s="51">
        <f t="shared" si="13"/>
        <v>1784</v>
      </c>
      <c r="H34" s="51">
        <f t="shared" si="14"/>
        <v>1189.3333333333333</v>
      </c>
      <c r="I34" s="18">
        <f t="shared" si="15"/>
        <v>5.0053248136315176E-2</v>
      </c>
      <c r="J34" s="52">
        <f t="shared" si="9"/>
        <v>0.95879670000000017</v>
      </c>
      <c r="K34" s="51">
        <f t="shared" si="16"/>
        <v>10.5</v>
      </c>
      <c r="L34" s="52">
        <f t="shared" si="10"/>
        <v>2.5715553951777754</v>
      </c>
      <c r="M34" s="51">
        <f t="shared" si="11"/>
        <v>73.446187212783968</v>
      </c>
      <c r="N34" s="51">
        <f t="shared" si="12"/>
        <v>179.12244085023164</v>
      </c>
      <c r="O34" s="56">
        <f t="shared" si="17"/>
        <v>0.41003342107309715</v>
      </c>
      <c r="P34" s="12"/>
      <c r="Q34" s="12"/>
      <c r="R34" s="12"/>
    </row>
    <row r="35" spans="1:18" x14ac:dyDescent="0.3">
      <c r="A35" s="11">
        <v>9600</v>
      </c>
      <c r="B35" s="54">
        <v>20</v>
      </c>
      <c r="C35" s="11">
        <v>27</v>
      </c>
      <c r="D35" s="11">
        <v>5375</v>
      </c>
      <c r="E35" s="11">
        <v>533</v>
      </c>
      <c r="F35" s="11">
        <v>31.3</v>
      </c>
      <c r="G35" s="51">
        <f t="shared" si="13"/>
        <v>1791.6666666666667</v>
      </c>
      <c r="H35" s="51">
        <f t="shared" si="14"/>
        <v>1194.4444444444446</v>
      </c>
      <c r="I35" s="18">
        <f t="shared" si="15"/>
        <v>4.5970891018814353E-2</v>
      </c>
      <c r="J35" s="52">
        <f t="shared" si="9"/>
        <v>0.93768558000000013</v>
      </c>
      <c r="K35" s="51">
        <f t="shared" si="16"/>
        <v>9.6</v>
      </c>
      <c r="L35" s="52">
        <f t="shared" si="10"/>
        <v>2.8983457236278789</v>
      </c>
      <c r="M35" s="51">
        <f t="shared" si="11"/>
        <v>75.684246826671128</v>
      </c>
      <c r="N35" s="51">
        <f t="shared" si="12"/>
        <v>175.93128273433146</v>
      </c>
      <c r="O35" s="56">
        <f t="shared" si="17"/>
        <v>0.4301920934718565</v>
      </c>
      <c r="P35" s="12"/>
      <c r="Q35" s="12"/>
      <c r="R35" s="12"/>
    </row>
    <row r="36" spans="1:18" x14ac:dyDescent="0.3">
      <c r="A36" s="11">
        <v>8700</v>
      </c>
      <c r="B36" s="54">
        <v>23</v>
      </c>
      <c r="C36" s="11">
        <v>30</v>
      </c>
      <c r="D36" s="11">
        <v>5369</v>
      </c>
      <c r="E36" s="11">
        <v>525</v>
      </c>
      <c r="F36" s="11">
        <v>31.3</v>
      </c>
      <c r="G36" s="51">
        <f t="shared" si="13"/>
        <v>1789.6666666666667</v>
      </c>
      <c r="H36" s="51">
        <f t="shared" si="14"/>
        <v>1193.1111111111111</v>
      </c>
      <c r="I36" s="18">
        <f t="shared" si="15"/>
        <v>4.7035853745118872E-2</v>
      </c>
      <c r="J36" s="52">
        <f t="shared" si="9"/>
        <v>0.92361150000000014</v>
      </c>
      <c r="K36" s="51">
        <f t="shared" si="16"/>
        <v>8.6999999999999993</v>
      </c>
      <c r="L36" s="52">
        <f t="shared" si="10"/>
        <v>3.1368851592231763</v>
      </c>
      <c r="M36" s="51">
        <f t="shared" si="11"/>
        <v>74.233843043441325</v>
      </c>
      <c r="N36" s="51">
        <f t="shared" si="12"/>
        <v>173.09722236583741</v>
      </c>
      <c r="O36" s="56">
        <f t="shared" si="17"/>
        <v>0.42885635037256475</v>
      </c>
      <c r="P36" s="12"/>
      <c r="Q36" s="12"/>
      <c r="R36" s="12"/>
    </row>
    <row r="37" spans="1:18" x14ac:dyDescent="0.3">
      <c r="A37" s="11">
        <v>7900</v>
      </c>
      <c r="B37" s="54">
        <v>25</v>
      </c>
      <c r="C37" s="11">
        <v>32</v>
      </c>
      <c r="D37" s="11">
        <v>5373</v>
      </c>
      <c r="E37" s="11">
        <v>510</v>
      </c>
      <c r="F37" s="11">
        <v>31.3</v>
      </c>
      <c r="G37" s="51">
        <f t="shared" si="13"/>
        <v>1791</v>
      </c>
      <c r="H37" s="51">
        <f t="shared" si="14"/>
        <v>1194</v>
      </c>
      <c r="I37" s="18">
        <f t="shared" si="15"/>
        <v>4.6325878594249192E-2</v>
      </c>
      <c r="J37" s="52">
        <f t="shared" si="9"/>
        <v>0.8972226000000002</v>
      </c>
      <c r="K37" s="51">
        <f t="shared" si="16"/>
        <v>7.9</v>
      </c>
      <c r="L37" s="52">
        <f t="shared" si="10"/>
        <v>3.2907184729767183</v>
      </c>
      <c r="M37" s="51">
        <f t="shared" si="11"/>
        <v>70.713428231537691</v>
      </c>
      <c r="N37" s="51">
        <f t="shared" si="12"/>
        <v>168.27686334904561</v>
      </c>
      <c r="O37" s="56">
        <f t="shared" si="17"/>
        <v>0.42022074112982177</v>
      </c>
      <c r="P37" s="12"/>
      <c r="Q37" s="12"/>
      <c r="R37" s="12"/>
    </row>
    <row r="38" spans="1:18" x14ac:dyDescent="0.3">
      <c r="A38" s="11">
        <v>7000</v>
      </c>
      <c r="B38" s="54">
        <v>27</v>
      </c>
      <c r="C38" s="11">
        <v>34</v>
      </c>
      <c r="D38" s="11">
        <v>5384</v>
      </c>
      <c r="E38" s="11">
        <v>500</v>
      </c>
      <c r="F38" s="11">
        <v>31.3</v>
      </c>
      <c r="G38" s="51">
        <f t="shared" si="13"/>
        <v>1794.6666666666667</v>
      </c>
      <c r="H38" s="51">
        <f t="shared" si="14"/>
        <v>1196.4444444444446</v>
      </c>
      <c r="I38" s="18">
        <f t="shared" si="15"/>
        <v>4.4373446929357407E-2</v>
      </c>
      <c r="J38" s="52">
        <f t="shared" si="9"/>
        <v>0.87963000000000013</v>
      </c>
      <c r="K38" s="51">
        <f t="shared" si="16"/>
        <v>7</v>
      </c>
      <c r="L38" s="52">
        <f t="shared" si="10"/>
        <v>3.4442582706591165</v>
      </c>
      <c r="M38" s="51">
        <f t="shared" si="11"/>
        <v>65.58096790509957</v>
      </c>
      <c r="N38" s="51">
        <f t="shared" si="12"/>
        <v>165.31507068225326</v>
      </c>
      <c r="O38" s="56">
        <f t="shared" si="17"/>
        <v>0.39670289970810113</v>
      </c>
      <c r="P38" s="12"/>
      <c r="Q38" s="12"/>
      <c r="R38" s="12"/>
    </row>
    <row r="39" spans="1:18" x14ac:dyDescent="0.3">
      <c r="A39" s="11">
        <v>6200</v>
      </c>
      <c r="B39" s="54">
        <v>29</v>
      </c>
      <c r="C39" s="11">
        <v>36</v>
      </c>
      <c r="D39" s="11">
        <v>5394</v>
      </c>
      <c r="E39" s="11">
        <v>483</v>
      </c>
      <c r="F39" s="11">
        <v>31.3</v>
      </c>
      <c r="G39" s="51">
        <f t="shared" si="13"/>
        <v>1798</v>
      </c>
      <c r="H39" s="51">
        <f t="shared" si="14"/>
        <v>1198.6666666666667</v>
      </c>
      <c r="I39" s="18">
        <f t="shared" si="15"/>
        <v>4.2598509052183209E-2</v>
      </c>
      <c r="J39" s="52">
        <f t="shared" si="9"/>
        <v>0.84972258000000001</v>
      </c>
      <c r="K39" s="51">
        <f t="shared" si="16"/>
        <v>6.2</v>
      </c>
      <c r="L39" s="52">
        <f t="shared" si="10"/>
        <v>3.6042328437473707</v>
      </c>
      <c r="M39" s="51">
        <f t="shared" si="11"/>
        <v>60.783905570100636</v>
      </c>
      <c r="N39" s="51">
        <f t="shared" si="12"/>
        <v>159.99096741404745</v>
      </c>
      <c r="O39" s="56">
        <f t="shared" si="17"/>
        <v>0.37992085773689571</v>
      </c>
    </row>
    <row r="40" spans="1:18" x14ac:dyDescent="0.3">
      <c r="A40" s="11">
        <v>5400</v>
      </c>
      <c r="B40" s="54">
        <v>31</v>
      </c>
      <c r="C40" s="11">
        <v>37</v>
      </c>
      <c r="D40" s="11">
        <v>5404</v>
      </c>
      <c r="E40" s="11">
        <v>461</v>
      </c>
      <c r="F40" s="11">
        <v>31.4</v>
      </c>
      <c r="G40" s="51">
        <f t="shared" si="13"/>
        <v>1801.3333333333333</v>
      </c>
      <c r="H40" s="51">
        <f t="shared" si="14"/>
        <v>1200.8888888888889</v>
      </c>
      <c r="I40" s="18">
        <f t="shared" si="15"/>
        <v>4.3878273177636262E-2</v>
      </c>
      <c r="J40" s="52">
        <f t="shared" si="9"/>
        <v>0.81101886000000023</v>
      </c>
      <c r="K40" s="51">
        <f t="shared" si="16"/>
        <v>5.4</v>
      </c>
      <c r="L40" s="52">
        <f t="shared" si="10"/>
        <v>3.6649768049345961</v>
      </c>
      <c r="M40" s="51">
        <f t="shared" si="11"/>
        <v>53.833059443980282</v>
      </c>
      <c r="N40" s="51">
        <f t="shared" si="12"/>
        <v>152.98669314514834</v>
      </c>
      <c r="O40" s="56">
        <f t="shared" si="17"/>
        <v>0.35188066580996941</v>
      </c>
    </row>
    <row r="41" spans="1:18" x14ac:dyDescent="0.3">
      <c r="A41" s="11">
        <v>4400</v>
      </c>
      <c r="B41" s="54">
        <v>35</v>
      </c>
      <c r="C41" s="11">
        <v>39</v>
      </c>
      <c r="D41" s="11">
        <v>5418</v>
      </c>
      <c r="E41" s="11">
        <v>440</v>
      </c>
      <c r="F41" s="11">
        <v>31.4</v>
      </c>
      <c r="G41" s="51">
        <f t="shared" si="13"/>
        <v>1806</v>
      </c>
      <c r="H41" s="51">
        <f t="shared" si="14"/>
        <v>1204</v>
      </c>
      <c r="I41" s="18">
        <f t="shared" si="15"/>
        <v>4.1401273885350309E-2</v>
      </c>
      <c r="J41" s="52">
        <f t="shared" si="9"/>
        <v>0.77407440000000016</v>
      </c>
      <c r="K41" s="51">
        <f t="shared" si="16"/>
        <v>4.4000000000000004</v>
      </c>
      <c r="L41" s="52">
        <f t="shared" si="10"/>
        <v>3.8062431948723123</v>
      </c>
      <c r="M41" s="51">
        <f t="shared" si="11"/>
        <v>45.5547095658873</v>
      </c>
      <c r="N41" s="51">
        <f t="shared" si="12"/>
        <v>146.39595219199003</v>
      </c>
      <c r="O41" s="56">
        <f t="shared" si="17"/>
        <v>0.31117465260340577</v>
      </c>
    </row>
    <row r="42" spans="1:18" x14ac:dyDescent="0.3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3">
      <c r="E43" s="5"/>
      <c r="F43" s="5"/>
      <c r="G43" s="24"/>
      <c r="H43" s="25"/>
      <c r="I43" s="26"/>
      <c r="J43" s="26"/>
      <c r="K43" s="26"/>
      <c r="L43" s="27"/>
      <c r="M43" s="28"/>
    </row>
    <row r="44" spans="1:18" x14ac:dyDescent="0.3">
      <c r="A44" s="13" t="s">
        <v>114</v>
      </c>
      <c r="E44" s="5"/>
      <c r="F44" s="5"/>
      <c r="G44" s="24"/>
      <c r="H44" s="13" t="s">
        <v>70</v>
      </c>
      <c r="K44" s="5" t="s">
        <v>71</v>
      </c>
      <c r="L44" s="2">
        <v>1200</v>
      </c>
      <c r="M44" s="3" t="s">
        <v>11</v>
      </c>
    </row>
    <row r="45" spans="1:18" ht="18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107</v>
      </c>
      <c r="L45" s="29">
        <f>π*PumphjulsDiam*(Euler_rpm/60)</f>
        <v>8.6142470561432134</v>
      </c>
      <c r="M45" s="3" t="s">
        <v>72</v>
      </c>
    </row>
    <row r="46" spans="1:18" ht="18" x14ac:dyDescent="0.3">
      <c r="A46" s="9" t="s">
        <v>106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8" x14ac:dyDescent="0.35">
      <c r="A47" s="9"/>
      <c r="B47" s="9"/>
      <c r="C47" s="9"/>
      <c r="D47" s="9"/>
      <c r="F47" s="5"/>
      <c r="G47" s="26"/>
      <c r="H47" s="9" t="s">
        <v>2</v>
      </c>
      <c r="I47" s="9" t="s">
        <v>108</v>
      </c>
      <c r="J47" s="9" t="s">
        <v>109</v>
      </c>
      <c r="K47" s="9" t="s">
        <v>110</v>
      </c>
      <c r="L47" s="9" t="s">
        <v>12</v>
      </c>
    </row>
    <row r="48" spans="1:18" ht="18" x14ac:dyDescent="0.3">
      <c r="A48" s="51">
        <f t="shared" ref="A48:A57" si="18">K17*1500/H17</f>
        <v>15.815560228296786</v>
      </c>
      <c r="B48" s="52">
        <f>L17*1500/H17</f>
        <v>2.7150694945412757</v>
      </c>
      <c r="C48" s="51">
        <f>M17*1500/H17</f>
        <v>115.20985252536632</v>
      </c>
      <c r="D48" s="51">
        <f>N17*1500/H17</f>
        <v>316.69012611752606</v>
      </c>
      <c r="E48" s="56">
        <f>C48/D48</f>
        <v>0.36379363618874266</v>
      </c>
      <c r="F48" s="5"/>
      <c r="G48" s="26"/>
      <c r="H48" s="9" t="s">
        <v>106</v>
      </c>
      <c r="I48" s="9" t="s">
        <v>72</v>
      </c>
      <c r="J48" s="9" t="s">
        <v>72</v>
      </c>
      <c r="K48" s="9" t="s">
        <v>73</v>
      </c>
      <c r="L48" s="9" t="s">
        <v>13</v>
      </c>
    </row>
    <row r="49" spans="1:14" x14ac:dyDescent="0.3">
      <c r="A49" s="51">
        <f t="shared" si="18"/>
        <v>14.178544636159041</v>
      </c>
      <c r="B49" s="52">
        <f t="shared" ref="B49:B57" si="19">L18*1500/H18</f>
        <v>3.6640096380168408</v>
      </c>
      <c r="C49" s="51">
        <f t="shared" ref="C49:C57" si="20">M18*1500/H18</f>
        <v>139.53036014849988</v>
      </c>
      <c r="D49" s="51">
        <f t="shared" ref="D49:D57" si="21">N18*1500/H18</f>
        <v>316.27561024564432</v>
      </c>
      <c r="E49" s="56">
        <f t="shared" ref="E49:E57" si="22">C49/D49</f>
        <v>0.44116699368670798</v>
      </c>
      <c r="F49" s="5"/>
      <c r="G49" s="19"/>
      <c r="H49" s="9"/>
      <c r="I49" s="9"/>
      <c r="J49" s="9"/>
      <c r="K49" s="9"/>
    </row>
    <row r="50" spans="1:14" x14ac:dyDescent="0.3">
      <c r="A50" s="51">
        <f t="shared" si="18"/>
        <v>13.150007492881763</v>
      </c>
      <c r="B50" s="52">
        <f t="shared" si="19"/>
        <v>4.073127891461227</v>
      </c>
      <c r="C50" s="51">
        <f t="shared" si="20"/>
        <v>144.03083255501494</v>
      </c>
      <c r="D50" s="51">
        <f t="shared" si="21"/>
        <v>311.71593565494709</v>
      </c>
      <c r="E50" s="56">
        <f t="shared" si="22"/>
        <v>0.4620579703517288</v>
      </c>
      <c r="F50" s="5"/>
      <c r="G50" s="19"/>
      <c r="H50" s="11">
        <v>0</v>
      </c>
      <c r="I50" s="52">
        <f t="shared" ref="I50:I57" si="23">(H50/3600)/(π*PumphjulsDiam*PumphjulsÖppning)</f>
        <v>0</v>
      </c>
      <c r="J50" s="52">
        <f t="shared" ref="J50:J57" si="24">Euler_u2-(I50/TAN(RADIANS(Skovelvinkel)))</f>
        <v>8.6142470561432134</v>
      </c>
      <c r="K50" s="51">
        <f t="shared" ref="K50:K57" si="25">Euler_u2*J50</f>
        <v>74.205252344272012</v>
      </c>
      <c r="L50" s="53">
        <f t="shared" ref="L50:L57" si="26">K50/Tyngdacc</f>
        <v>7.5642459066536194</v>
      </c>
    </row>
    <row r="51" spans="1:14" x14ac:dyDescent="0.3">
      <c r="A51" s="51">
        <f t="shared" si="18"/>
        <v>11.932584269662922</v>
      </c>
      <c r="B51" s="52">
        <f t="shared" si="19"/>
        <v>4.4635026767417019</v>
      </c>
      <c r="C51" s="51">
        <f t="shared" si="20"/>
        <v>143.26558549920227</v>
      </c>
      <c r="D51" s="51">
        <f t="shared" si="21"/>
        <v>306.74174519236811</v>
      </c>
      <c r="E51" s="56">
        <f t="shared" si="22"/>
        <v>0.46705604223955755</v>
      </c>
      <c r="F51" s="5"/>
      <c r="H51" s="11">
        <v>2</v>
      </c>
      <c r="I51" s="52">
        <f t="shared" si="23"/>
        <v>0.14174207136658207</v>
      </c>
      <c r="J51" s="52">
        <f t="shared" si="24"/>
        <v>8.310280203170219</v>
      </c>
      <c r="K51" s="51">
        <f t="shared" si="25"/>
        <v>71.586806775884284</v>
      </c>
      <c r="L51" s="53">
        <f t="shared" si="26"/>
        <v>7.2973299465733215</v>
      </c>
    </row>
    <row r="52" spans="1:14" x14ac:dyDescent="0.3">
      <c r="A52" s="51">
        <f t="shared" si="18"/>
        <v>9.5737533592117057</v>
      </c>
      <c r="B52" s="52">
        <f t="shared" si="19"/>
        <v>5.1805966351479329</v>
      </c>
      <c r="C52" s="51">
        <f t="shared" si="20"/>
        <v>133.87129254068583</v>
      </c>
      <c r="D52" s="51">
        <f t="shared" si="21"/>
        <v>289.33207857334185</v>
      </c>
      <c r="E52" s="56">
        <f t="shared" si="22"/>
        <v>0.46269080566796272</v>
      </c>
      <c r="F52" s="5"/>
      <c r="G52" s="19"/>
      <c r="H52" s="11">
        <v>4</v>
      </c>
      <c r="I52" s="52">
        <f t="shared" si="23"/>
        <v>0.28348414273316414</v>
      </c>
      <c r="J52" s="52">
        <f t="shared" si="24"/>
        <v>8.0063133501972228</v>
      </c>
      <c r="K52" s="51">
        <f t="shared" si="25"/>
        <v>68.968361207496528</v>
      </c>
      <c r="L52" s="53">
        <f t="shared" si="26"/>
        <v>7.03041398649302</v>
      </c>
    </row>
    <row r="53" spans="1:14" x14ac:dyDescent="0.3">
      <c r="A53" s="51">
        <f t="shared" si="18"/>
        <v>8.1337399583457319</v>
      </c>
      <c r="B53" s="52">
        <f t="shared" si="19"/>
        <v>5.5676926564052183</v>
      </c>
      <c r="C53" s="51">
        <f t="shared" si="20"/>
        <v>122.67168894541888</v>
      </c>
      <c r="D53" s="51">
        <f t="shared" si="21"/>
        <v>274.82402305748656</v>
      </c>
      <c r="E53" s="56">
        <f t="shared" si="22"/>
        <v>0.44636450474985923</v>
      </c>
      <c r="F53" s="5"/>
      <c r="G53" s="19"/>
      <c r="H53" s="11">
        <v>6</v>
      </c>
      <c r="I53" s="52">
        <f t="shared" si="23"/>
        <v>0.42522621409974626</v>
      </c>
      <c r="J53" s="52">
        <f t="shared" si="24"/>
        <v>7.7023464972242284</v>
      </c>
      <c r="K53" s="51">
        <f t="shared" si="25"/>
        <v>66.349915639108801</v>
      </c>
      <c r="L53" s="53">
        <f t="shared" si="26"/>
        <v>6.7634980264127211</v>
      </c>
    </row>
    <row r="54" spans="1:14" x14ac:dyDescent="0.3">
      <c r="A54" s="51">
        <f t="shared" si="18"/>
        <v>7.2171072171072179</v>
      </c>
      <c r="B54" s="52">
        <f t="shared" si="19"/>
        <v>5.7108608817935247</v>
      </c>
      <c r="C54" s="51">
        <f t="shared" si="20"/>
        <v>111.84540573788756</v>
      </c>
      <c r="D54" s="51">
        <f t="shared" si="21"/>
        <v>265.29015800421024</v>
      </c>
      <c r="E54" s="56">
        <f t="shared" si="22"/>
        <v>0.42159651371654933</v>
      </c>
      <c r="F54" s="5"/>
      <c r="G54" s="19"/>
      <c r="H54" s="11">
        <v>8</v>
      </c>
      <c r="I54" s="52">
        <f t="shared" si="23"/>
        <v>0.56696828546632827</v>
      </c>
      <c r="J54" s="52">
        <f t="shared" si="24"/>
        <v>7.3983796442512331</v>
      </c>
      <c r="K54" s="51">
        <f t="shared" si="25"/>
        <v>63.731470070721059</v>
      </c>
      <c r="L54" s="53">
        <f t="shared" si="26"/>
        <v>6.4965820663324214</v>
      </c>
    </row>
    <row r="55" spans="1:14" x14ac:dyDescent="0.3">
      <c r="A55" s="51">
        <f t="shared" si="18"/>
        <v>6.403794841387489</v>
      </c>
      <c r="B55" s="52">
        <f t="shared" si="19"/>
        <v>5.8498306030139506</v>
      </c>
      <c r="C55" s="51">
        <f t="shared" si="20"/>
        <v>101.83740783427349</v>
      </c>
      <c r="D55" s="51">
        <f t="shared" si="21"/>
        <v>256.1708088228155</v>
      </c>
      <c r="E55" s="56">
        <f t="shared" si="22"/>
        <v>0.39753712884870857</v>
      </c>
      <c r="F55" s="5"/>
      <c r="G55" s="19"/>
      <c r="H55" s="11">
        <v>10</v>
      </c>
      <c r="I55" s="52">
        <f t="shared" si="23"/>
        <v>0.70871035683291039</v>
      </c>
      <c r="J55" s="52">
        <f t="shared" si="24"/>
        <v>7.0944127912782378</v>
      </c>
      <c r="K55" s="51">
        <f t="shared" si="25"/>
        <v>61.113024502333317</v>
      </c>
      <c r="L55" s="53">
        <f t="shared" si="26"/>
        <v>6.2296661062521217</v>
      </c>
    </row>
    <row r="56" spans="1:14" x14ac:dyDescent="0.3">
      <c r="A56" s="51">
        <f t="shared" si="18"/>
        <v>5.4886162034299231</v>
      </c>
      <c r="B56" s="52">
        <f t="shared" si="19"/>
        <v>5.973186981911609</v>
      </c>
      <c r="C56" s="51">
        <f t="shared" si="20"/>
        <v>89.361998239595707</v>
      </c>
      <c r="D56" s="51">
        <f t="shared" si="21"/>
        <v>244.56436441013128</v>
      </c>
      <c r="E56" s="56">
        <f t="shared" si="22"/>
        <v>0.36539255608693993</v>
      </c>
      <c r="F56" s="5"/>
      <c r="H56" s="11">
        <v>12</v>
      </c>
      <c r="I56" s="52">
        <f t="shared" si="23"/>
        <v>0.85045242819949252</v>
      </c>
      <c r="J56" s="52">
        <f t="shared" si="24"/>
        <v>6.7904459383052433</v>
      </c>
      <c r="K56" s="51">
        <f t="shared" si="25"/>
        <v>58.494578933945583</v>
      </c>
      <c r="L56" s="53">
        <f t="shared" si="26"/>
        <v>5.9627501461718229</v>
      </c>
      <c r="M56" s="19"/>
    </row>
    <row r="57" spans="1:14" x14ac:dyDescent="0.3">
      <c r="A57" s="51">
        <f t="shared" si="18"/>
        <v>4.7759433962264151</v>
      </c>
      <c r="B57" s="52">
        <f t="shared" si="19"/>
        <v>6.0003453692180724</v>
      </c>
      <c r="C57" s="51">
        <f t="shared" si="20"/>
        <v>78.343245297999516</v>
      </c>
      <c r="D57" s="51">
        <f t="shared" si="21"/>
        <v>232.12888825368395</v>
      </c>
      <c r="E57" s="56">
        <f t="shared" si="22"/>
        <v>0.33749890367967239</v>
      </c>
      <c r="F57" s="5"/>
      <c r="G57" s="19"/>
      <c r="H57" s="11">
        <v>14</v>
      </c>
      <c r="I57" s="52">
        <f t="shared" si="23"/>
        <v>0.99219449956607453</v>
      </c>
      <c r="J57" s="52">
        <f t="shared" si="24"/>
        <v>6.4864790853322489</v>
      </c>
      <c r="K57" s="51">
        <f t="shared" si="25"/>
        <v>55.876133365557848</v>
      </c>
      <c r="L57" s="53">
        <f t="shared" si="26"/>
        <v>5.6958341860915231</v>
      </c>
      <c r="M57" s="19"/>
    </row>
    <row r="58" spans="1:14" x14ac:dyDescent="0.3">
      <c r="E58" s="5"/>
      <c r="F58" s="5"/>
      <c r="G58" s="19"/>
    </row>
    <row r="59" spans="1:14" x14ac:dyDescent="0.3">
      <c r="A59" s="13" t="s">
        <v>68</v>
      </c>
      <c r="E59" s="5"/>
      <c r="F59" s="5"/>
      <c r="G59" s="24"/>
      <c r="H59" s="13" t="s">
        <v>95</v>
      </c>
      <c r="I59" s="22"/>
    </row>
    <row r="60" spans="1:14" x14ac:dyDescent="0.3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8" x14ac:dyDescent="0.3">
      <c r="A61" s="9" t="s">
        <v>106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106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3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3">
      <c r="A63" s="51">
        <f>K32*1200/H32</f>
        <v>12.534631224260577</v>
      </c>
      <c r="B63" s="52">
        <f>L32*1200/H32</f>
        <v>1.9452054144732032</v>
      </c>
      <c r="C63" s="51">
        <f>M32*1200/H32</f>
        <v>65.610179671330471</v>
      </c>
      <c r="D63" s="51">
        <f>N32*1200/H32</f>
        <v>185.70311060294719</v>
      </c>
      <c r="E63" s="56">
        <f>C63/D63</f>
        <v>0.35330684261725664</v>
      </c>
      <c r="F63" s="5"/>
      <c r="G63" s="24"/>
      <c r="H63" s="51">
        <f>K32*1500/H32</f>
        <v>15.66828903032572</v>
      </c>
      <c r="I63" s="52">
        <f>L32*1500/H32</f>
        <v>2.4315067680915039</v>
      </c>
      <c r="J63" s="51">
        <f>M32*1500/H32</f>
        <v>82.012724589163071</v>
      </c>
      <c r="K63" s="51">
        <f>N32*1500/H32</f>
        <v>232.12888825368404</v>
      </c>
      <c r="L63" s="56">
        <f>J63/K63</f>
        <v>0.35330684261725653</v>
      </c>
      <c r="M63" s="30"/>
      <c r="N63" s="30"/>
    </row>
    <row r="64" spans="1:14" x14ac:dyDescent="0.3">
      <c r="A64" s="51">
        <f t="shared" ref="A64:A72" si="27">K33*1200/H33</f>
        <v>11.51084517576664</v>
      </c>
      <c r="B64" s="52">
        <f t="shared" ref="B64:B72" si="28">L33*1200/H33</f>
        <v>2.2599733734672474</v>
      </c>
      <c r="C64" s="51">
        <f t="shared" ref="C64:C72" si="29">M33*1200/H33</f>
        <v>70.07970191563588</v>
      </c>
      <c r="D64" s="51">
        <f t="shared" ref="D64:D72" si="30">N33*1200/H33</f>
        <v>184.0450471154208</v>
      </c>
      <c r="E64" s="56">
        <f t="shared" ref="E64:E72" si="31">C64/D64</f>
        <v>0.38077472343869462</v>
      </c>
      <c r="F64" s="5"/>
      <c r="G64" s="24"/>
      <c r="H64" s="51">
        <f t="shared" ref="H64:H72" si="32">K33*1500/H33</f>
        <v>14.3885564697083</v>
      </c>
      <c r="I64" s="52">
        <f t="shared" ref="I64:I72" si="33">L33*1500/H33</f>
        <v>2.8249667168340591</v>
      </c>
      <c r="J64" s="51">
        <f t="shared" ref="J64:J72" si="34">M33*1500/H33</f>
        <v>87.599627394544854</v>
      </c>
      <c r="K64" s="51">
        <f t="shared" ref="K64:K72" si="35">N33*1500/H33</f>
        <v>230.05630889427601</v>
      </c>
      <c r="L64" s="56">
        <f t="shared" ref="L64:L72" si="36">J64/K64</f>
        <v>0.38077472343869462</v>
      </c>
      <c r="M64" s="30"/>
      <c r="N64" s="30"/>
    </row>
    <row r="65" spans="1:15" x14ac:dyDescent="0.3">
      <c r="A65" s="51">
        <f t="shared" si="27"/>
        <v>10.594170403587444</v>
      </c>
      <c r="B65" s="52">
        <f t="shared" si="28"/>
        <v>2.5946186722645717</v>
      </c>
      <c r="C65" s="51">
        <f t="shared" si="29"/>
        <v>74.104897412001762</v>
      </c>
      <c r="D65" s="51">
        <f t="shared" si="30"/>
        <v>180.72892014036827</v>
      </c>
      <c r="E65" s="56">
        <f t="shared" si="31"/>
        <v>0.41003342107309709</v>
      </c>
      <c r="F65" s="5"/>
      <c r="H65" s="51">
        <f t="shared" si="32"/>
        <v>13.242713004484306</v>
      </c>
      <c r="I65" s="52">
        <f t="shared" si="33"/>
        <v>3.2432733403307146</v>
      </c>
      <c r="J65" s="51">
        <f t="shared" si="34"/>
        <v>92.631121765002206</v>
      </c>
      <c r="K65" s="51">
        <f t="shared" si="35"/>
        <v>225.91115017546034</v>
      </c>
      <c r="L65" s="56">
        <f t="shared" si="36"/>
        <v>0.41003342107309709</v>
      </c>
      <c r="M65" s="30"/>
      <c r="N65" s="30"/>
    </row>
    <row r="66" spans="1:15" x14ac:dyDescent="0.3">
      <c r="A66" s="51">
        <f t="shared" si="27"/>
        <v>9.6446511627906961</v>
      </c>
      <c r="B66" s="52">
        <f t="shared" si="28"/>
        <v>2.9118264014121946</v>
      </c>
      <c r="C66" s="51">
        <f t="shared" si="29"/>
        <v>76.03626657935331</v>
      </c>
      <c r="D66" s="51">
        <f t="shared" si="30"/>
        <v>176.74956777030508</v>
      </c>
      <c r="E66" s="56">
        <f t="shared" si="31"/>
        <v>0.43019209347185644</v>
      </c>
      <c r="F66" s="5"/>
      <c r="G66" s="24"/>
      <c r="H66" s="51">
        <f t="shared" si="32"/>
        <v>12.055813953488371</v>
      </c>
      <c r="I66" s="52">
        <f t="shared" si="33"/>
        <v>3.6397830017652431</v>
      </c>
      <c r="J66" s="51">
        <f t="shared" si="34"/>
        <v>95.045333224191637</v>
      </c>
      <c r="K66" s="51">
        <f t="shared" si="35"/>
        <v>220.93695971288133</v>
      </c>
      <c r="L66" s="56">
        <f t="shared" si="36"/>
        <v>0.4301920934718565</v>
      </c>
      <c r="M66" s="30"/>
      <c r="N66" s="30"/>
    </row>
    <row r="67" spans="1:15" x14ac:dyDescent="0.3">
      <c r="A67" s="51">
        <f t="shared" si="27"/>
        <v>8.7502328180294278</v>
      </c>
      <c r="B67" s="52">
        <f t="shared" si="28"/>
        <v>3.1549971800717365</v>
      </c>
      <c r="C67" s="51">
        <f t="shared" si="29"/>
        <v>74.662460874386881</v>
      </c>
      <c r="D67" s="51">
        <f t="shared" si="30"/>
        <v>174.09666619026299</v>
      </c>
      <c r="E67" s="56">
        <f t="shared" si="31"/>
        <v>0.42885635037256481</v>
      </c>
      <c r="F67" s="5"/>
      <c r="G67" s="24"/>
      <c r="H67" s="51">
        <f t="shared" si="32"/>
        <v>10.937791022536784</v>
      </c>
      <c r="I67" s="52">
        <f t="shared" si="33"/>
        <v>3.9437464750896702</v>
      </c>
      <c r="J67" s="51">
        <f t="shared" si="34"/>
        <v>93.328076092983594</v>
      </c>
      <c r="K67" s="51">
        <f t="shared" si="35"/>
        <v>217.62083273782875</v>
      </c>
      <c r="L67" s="56">
        <f t="shared" si="36"/>
        <v>0.42885635037256475</v>
      </c>
      <c r="M67" s="30"/>
      <c r="N67" s="30"/>
    </row>
    <row r="68" spans="1:15" x14ac:dyDescent="0.3">
      <c r="A68" s="51">
        <f t="shared" si="27"/>
        <v>7.9396984924623117</v>
      </c>
      <c r="B68" s="52">
        <f t="shared" si="28"/>
        <v>3.3072547467102695</v>
      </c>
      <c r="C68" s="51">
        <f t="shared" si="29"/>
        <v>71.068772091997673</v>
      </c>
      <c r="D68" s="51">
        <f t="shared" si="30"/>
        <v>169.12247572768405</v>
      </c>
      <c r="E68" s="56">
        <f t="shared" si="31"/>
        <v>0.42022074112982172</v>
      </c>
      <c r="F68" s="5"/>
      <c r="G68" s="24"/>
      <c r="H68" s="51">
        <f t="shared" si="32"/>
        <v>9.924623115577889</v>
      </c>
      <c r="I68" s="52">
        <f t="shared" si="33"/>
        <v>4.1340684333878368</v>
      </c>
      <c r="J68" s="51">
        <f t="shared" si="34"/>
        <v>88.835965114997094</v>
      </c>
      <c r="K68" s="51">
        <f t="shared" si="35"/>
        <v>211.40309465960505</v>
      </c>
      <c r="L68" s="56">
        <f t="shared" si="36"/>
        <v>0.42022074112982177</v>
      </c>
      <c r="M68" s="30"/>
      <c r="N68" s="30"/>
    </row>
    <row r="69" spans="1:15" x14ac:dyDescent="0.3">
      <c r="A69" s="51">
        <f t="shared" si="27"/>
        <v>7.0208023774145607</v>
      </c>
      <c r="B69" s="52">
        <f t="shared" si="28"/>
        <v>3.4544938078676126</v>
      </c>
      <c r="C69" s="51">
        <f t="shared" si="29"/>
        <v>65.775859340181583</v>
      </c>
      <c r="D69" s="51">
        <f t="shared" si="30"/>
        <v>165.80634875263141</v>
      </c>
      <c r="E69" s="56">
        <f t="shared" si="31"/>
        <v>0.39670289970810119</v>
      </c>
      <c r="F69" s="5"/>
      <c r="H69" s="51">
        <f t="shared" si="32"/>
        <v>8.776002971768202</v>
      </c>
      <c r="I69" s="52">
        <f t="shared" si="33"/>
        <v>4.3181172598345157</v>
      </c>
      <c r="J69" s="51">
        <f t="shared" si="34"/>
        <v>82.219824175226975</v>
      </c>
      <c r="K69" s="51">
        <f t="shared" si="35"/>
        <v>207.25793594078925</v>
      </c>
      <c r="L69" s="56">
        <f t="shared" si="36"/>
        <v>0.39670289970810119</v>
      </c>
      <c r="M69" s="30"/>
      <c r="N69" s="30"/>
    </row>
    <row r="70" spans="1:15" x14ac:dyDescent="0.3">
      <c r="A70" s="51">
        <f t="shared" si="27"/>
        <v>6.2068965517241379</v>
      </c>
      <c r="B70" s="52">
        <f t="shared" si="28"/>
        <v>3.608242001526845</v>
      </c>
      <c r="C70" s="51">
        <f t="shared" si="29"/>
        <v>60.851518368287621</v>
      </c>
      <c r="D70" s="51">
        <f t="shared" si="30"/>
        <v>160.16893289504193</v>
      </c>
      <c r="E70" s="56">
        <f t="shared" si="31"/>
        <v>0.37992085773689571</v>
      </c>
      <c r="F70" s="5"/>
      <c r="G70" s="24"/>
      <c r="H70" s="51">
        <f t="shared" si="32"/>
        <v>7.7586206896551717</v>
      </c>
      <c r="I70" s="52">
        <f t="shared" si="33"/>
        <v>4.5103025019085559</v>
      </c>
      <c r="J70" s="51">
        <f t="shared" si="34"/>
        <v>76.064397960359514</v>
      </c>
      <c r="K70" s="51">
        <f t="shared" si="35"/>
        <v>200.21116611880242</v>
      </c>
      <c r="L70" s="56">
        <f t="shared" si="36"/>
        <v>0.37992085773689566</v>
      </c>
      <c r="M70" s="30"/>
      <c r="N70" s="30"/>
    </row>
    <row r="71" spans="1:15" x14ac:dyDescent="0.3">
      <c r="A71" s="51">
        <f t="shared" si="27"/>
        <v>5.3960029607697999</v>
      </c>
      <c r="B71" s="52">
        <f t="shared" si="28"/>
        <v>3.662264016774023</v>
      </c>
      <c r="C71" s="51">
        <f t="shared" si="29"/>
        <v>53.793212619817453</v>
      </c>
      <c r="D71" s="51">
        <f t="shared" si="30"/>
        <v>152.87345354992615</v>
      </c>
      <c r="E71" s="56">
        <f t="shared" si="31"/>
        <v>0.35188066580996946</v>
      </c>
      <c r="F71" s="5"/>
      <c r="G71" s="24"/>
      <c r="H71" s="51">
        <f t="shared" si="32"/>
        <v>6.7450037009622505</v>
      </c>
      <c r="I71" s="52">
        <f t="shared" si="33"/>
        <v>4.5778300209675287</v>
      </c>
      <c r="J71" s="51">
        <f t="shared" si="34"/>
        <v>67.241515774771813</v>
      </c>
      <c r="K71" s="51">
        <f t="shared" si="35"/>
        <v>191.09181693740771</v>
      </c>
      <c r="L71" s="56">
        <f t="shared" si="36"/>
        <v>0.35188066580996941</v>
      </c>
      <c r="M71" s="30"/>
      <c r="N71" s="30"/>
    </row>
    <row r="72" spans="1:15" x14ac:dyDescent="0.3">
      <c r="A72" s="51">
        <f t="shared" si="27"/>
        <v>4.3853820598006648</v>
      </c>
      <c r="B72" s="52">
        <f t="shared" si="28"/>
        <v>3.7935978686435008</v>
      </c>
      <c r="C72" s="51">
        <f t="shared" si="29"/>
        <v>45.403365015834524</v>
      </c>
      <c r="D72" s="51">
        <f t="shared" si="30"/>
        <v>145.90958690231565</v>
      </c>
      <c r="E72" s="56">
        <f t="shared" si="31"/>
        <v>0.31117465260340582</v>
      </c>
      <c r="F72" s="5"/>
      <c r="G72" s="24"/>
      <c r="H72" s="51">
        <f t="shared" si="32"/>
        <v>5.4817275747508312</v>
      </c>
      <c r="I72" s="52">
        <f t="shared" si="33"/>
        <v>4.7419973358043759</v>
      </c>
      <c r="J72" s="51">
        <f t="shared" si="34"/>
        <v>56.754206269793151</v>
      </c>
      <c r="K72" s="51">
        <f t="shared" si="35"/>
        <v>182.38698362789458</v>
      </c>
      <c r="L72" s="56">
        <f t="shared" si="36"/>
        <v>0.31117465260340577</v>
      </c>
      <c r="M72" s="30"/>
      <c r="N72" s="30"/>
      <c r="O72" s="31"/>
    </row>
    <row r="73" spans="1:15" x14ac:dyDescent="0.3">
      <c r="E73" s="5"/>
      <c r="F73" s="5"/>
      <c r="G73" s="24"/>
      <c r="H73" s="25"/>
      <c r="I73" s="26"/>
      <c r="O73" s="5"/>
    </row>
    <row r="74" spans="1:15" x14ac:dyDescent="0.3">
      <c r="E74" s="5"/>
      <c r="F74" s="5"/>
      <c r="G74" s="19"/>
      <c r="H74" s="19"/>
      <c r="I74" s="19"/>
      <c r="O74" s="5"/>
    </row>
    <row r="75" spans="1:15" x14ac:dyDescent="0.3">
      <c r="O75" s="5"/>
    </row>
    <row r="76" spans="1:15" x14ac:dyDescent="0.3">
      <c r="A76" s="13" t="s">
        <v>67</v>
      </c>
      <c r="O76" s="5"/>
    </row>
    <row r="77" spans="1:15" x14ac:dyDescent="0.3">
      <c r="A77" s="5" t="s">
        <v>20</v>
      </c>
      <c r="B77" s="32">
        <v>0.06</v>
      </c>
      <c r="C77" s="3" t="s">
        <v>13</v>
      </c>
      <c r="D77" s="5" t="s">
        <v>22</v>
      </c>
      <c r="E77" s="32">
        <v>5</v>
      </c>
      <c r="F77" s="3" t="s">
        <v>13</v>
      </c>
      <c r="G77" s="5" t="s">
        <v>3</v>
      </c>
      <c r="H77" s="32">
        <v>2</v>
      </c>
      <c r="I77" s="3" t="s">
        <v>13</v>
      </c>
      <c r="O77" s="5"/>
    </row>
    <row r="78" spans="1:15" x14ac:dyDescent="0.3">
      <c r="A78" s="5" t="s">
        <v>21</v>
      </c>
      <c r="B78" s="32">
        <v>0.05</v>
      </c>
      <c r="C78" s="3" t="s">
        <v>13</v>
      </c>
      <c r="D78" s="5" t="s">
        <v>23</v>
      </c>
      <c r="E78" s="32">
        <v>20</v>
      </c>
      <c r="F78" s="3" t="s">
        <v>13</v>
      </c>
      <c r="G78" s="5" t="s">
        <v>111</v>
      </c>
      <c r="H78" s="7"/>
      <c r="I78" s="33" t="s">
        <v>30</v>
      </c>
      <c r="O78" s="5"/>
    </row>
    <row r="79" spans="1:15" x14ac:dyDescent="0.3">
      <c r="A79" s="5" t="s">
        <v>94</v>
      </c>
      <c r="B79" s="32">
        <v>1E-4</v>
      </c>
      <c r="C79" s="3" t="s">
        <v>13</v>
      </c>
      <c r="D79" s="5" t="s">
        <v>31</v>
      </c>
      <c r="E79" s="32">
        <v>1.005E-3</v>
      </c>
      <c r="F79" s="34" t="s">
        <v>41</v>
      </c>
      <c r="G79" s="5" t="s">
        <v>74</v>
      </c>
      <c r="H79" s="7"/>
      <c r="I79" s="35" t="s">
        <v>30</v>
      </c>
      <c r="O79" s="5"/>
    </row>
    <row r="80" spans="1:15" x14ac:dyDescent="0.3">
      <c r="I80" s="4" t="s">
        <v>69</v>
      </c>
      <c r="O80" s="5"/>
    </row>
    <row r="81" spans="1:15" x14ac:dyDescent="0.3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53</v>
      </c>
      <c r="K81" s="5"/>
      <c r="O81" s="5"/>
    </row>
    <row r="82" spans="1:15" ht="18" x14ac:dyDescent="0.3">
      <c r="A82" s="9" t="s">
        <v>106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3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3">
      <c r="A84" s="11">
        <v>0.01</v>
      </c>
      <c r="B84" s="36">
        <f>4*Densitet*A84/3600/PI()/RörDiam_sug/Dynamisk_viskositet</f>
        <v>58.547434750075531</v>
      </c>
      <c r="C84" s="36">
        <f>4*Densitet*A84/3600/PI()/RörDiam_tryck/Dynamisk_viskositet</f>
        <v>70.256921700090615</v>
      </c>
      <c r="D84" s="17"/>
      <c r="E84" s="17"/>
      <c r="F84" s="17"/>
      <c r="G84" s="17"/>
      <c r="H84" s="17"/>
      <c r="I84" s="17"/>
      <c r="K84" s="37"/>
      <c r="O84" s="5"/>
    </row>
    <row r="85" spans="1:15" x14ac:dyDescent="0.3">
      <c r="A85" s="11">
        <v>1</v>
      </c>
      <c r="B85" s="36">
        <f>4*Densitet*A85/3600/PI()/RörDiam_sug/Dynamisk_viskositet</f>
        <v>5854.7434750075518</v>
      </c>
      <c r="C85" s="36">
        <f>4*Densitet*A85/3600/PI()/RörDiam_tryck/Dynamisk_viskositet</f>
        <v>7025.6921700090625</v>
      </c>
      <c r="D85" s="17"/>
      <c r="E85" s="17"/>
      <c r="F85" s="17"/>
      <c r="G85" s="17"/>
      <c r="H85" s="17"/>
      <c r="I85" s="17"/>
      <c r="K85" s="37"/>
      <c r="O85" s="5"/>
    </row>
    <row r="86" spans="1:15" x14ac:dyDescent="0.3">
      <c r="A86" s="11">
        <v>2</v>
      </c>
      <c r="B86" s="36"/>
      <c r="C86" s="36"/>
      <c r="D86" s="17"/>
      <c r="E86" s="17"/>
      <c r="F86" s="17"/>
      <c r="G86" s="17"/>
      <c r="H86" s="17"/>
      <c r="I86" s="17"/>
      <c r="K86" s="37"/>
      <c r="O86" s="5"/>
    </row>
    <row r="87" spans="1:15" x14ac:dyDescent="0.3">
      <c r="A87" s="11">
        <v>3</v>
      </c>
      <c r="B87" s="36"/>
      <c r="C87" s="36"/>
      <c r="D87" s="17"/>
      <c r="E87" s="17"/>
      <c r="F87" s="17"/>
      <c r="G87" s="17"/>
      <c r="H87" s="17"/>
      <c r="I87" s="17"/>
      <c r="K87" s="37"/>
      <c r="O87" s="5"/>
    </row>
    <row r="88" spans="1:15" x14ac:dyDescent="0.3">
      <c r="A88" s="11">
        <v>4</v>
      </c>
      <c r="B88" s="36"/>
      <c r="C88" s="36"/>
      <c r="D88" s="17"/>
      <c r="E88" s="17"/>
      <c r="F88" s="17"/>
      <c r="G88" s="17"/>
      <c r="H88" s="17"/>
      <c r="I88" s="17"/>
      <c r="K88" s="37"/>
    </row>
    <row r="89" spans="1:15" x14ac:dyDescent="0.3">
      <c r="A89" s="11">
        <v>5</v>
      </c>
      <c r="B89" s="36"/>
      <c r="C89" s="36"/>
      <c r="D89" s="17"/>
      <c r="E89" s="17"/>
      <c r="F89" s="17"/>
      <c r="G89" s="17"/>
      <c r="H89" s="17"/>
      <c r="I89" s="17"/>
      <c r="K89" s="37"/>
    </row>
    <row r="90" spans="1:15" x14ac:dyDescent="0.3">
      <c r="A90" s="11">
        <v>6</v>
      </c>
      <c r="B90" s="36"/>
      <c r="C90" s="36"/>
      <c r="D90" s="17"/>
      <c r="E90" s="17"/>
      <c r="F90" s="17"/>
      <c r="G90" s="17"/>
      <c r="H90" s="17"/>
      <c r="I90" s="17"/>
      <c r="K90" s="37"/>
    </row>
    <row r="91" spans="1:15" x14ac:dyDescent="0.3">
      <c r="A91" s="11">
        <v>7</v>
      </c>
      <c r="B91" s="36"/>
      <c r="C91" s="36"/>
      <c r="D91" s="17"/>
      <c r="E91" s="17"/>
      <c r="F91" s="17"/>
      <c r="G91" s="17"/>
      <c r="H91" s="17"/>
      <c r="I91" s="17"/>
      <c r="K91" s="37"/>
    </row>
    <row r="92" spans="1:15" x14ac:dyDescent="0.3">
      <c r="A92" s="11">
        <v>8</v>
      </c>
      <c r="B92" s="36"/>
      <c r="C92" s="36"/>
      <c r="D92" s="17"/>
      <c r="E92" s="17"/>
      <c r="F92" s="17"/>
      <c r="G92" s="17"/>
      <c r="H92" s="17"/>
      <c r="I92" s="17"/>
      <c r="K92" s="37"/>
    </row>
    <row r="93" spans="1:15" x14ac:dyDescent="0.3">
      <c r="A93" s="11">
        <v>9</v>
      </c>
      <c r="B93" s="36"/>
      <c r="C93" s="36"/>
      <c r="D93" s="17"/>
      <c r="E93" s="17"/>
      <c r="F93" s="17"/>
      <c r="G93" s="17"/>
      <c r="H93" s="17"/>
      <c r="I93" s="17"/>
      <c r="K93" s="37"/>
    </row>
    <row r="94" spans="1:15" x14ac:dyDescent="0.3">
      <c r="A94" s="38">
        <v>10</v>
      </c>
      <c r="B94" s="36"/>
      <c r="C94" s="36"/>
      <c r="D94" s="17"/>
      <c r="E94" s="17"/>
      <c r="F94" s="17"/>
      <c r="G94" s="17"/>
      <c r="H94" s="39"/>
      <c r="I94" s="17"/>
      <c r="K94" s="37"/>
    </row>
    <row r="95" spans="1:15" x14ac:dyDescent="0.3">
      <c r="A95" s="11">
        <v>11</v>
      </c>
      <c r="B95" s="36"/>
      <c r="C95" s="36"/>
      <c r="D95" s="17"/>
      <c r="E95" s="17"/>
      <c r="F95" s="17"/>
      <c r="G95" s="17"/>
      <c r="H95" s="17"/>
      <c r="I95" s="17"/>
      <c r="K95" s="37"/>
    </row>
    <row r="96" spans="1:15" x14ac:dyDescent="0.3">
      <c r="A96" s="11">
        <v>12</v>
      </c>
      <c r="B96" s="36"/>
      <c r="C96" s="36"/>
      <c r="D96" s="17"/>
      <c r="E96" s="17"/>
      <c r="F96" s="17"/>
      <c r="G96" s="17"/>
      <c r="H96" s="17"/>
      <c r="I96" s="17"/>
      <c r="K96" s="37"/>
    </row>
    <row r="97" spans="1:11" x14ac:dyDescent="0.3">
      <c r="A97" s="11">
        <v>13</v>
      </c>
      <c r="B97" s="36"/>
      <c r="C97" s="36"/>
      <c r="D97" s="17"/>
      <c r="E97" s="17"/>
      <c r="F97" s="17"/>
      <c r="G97" s="17"/>
      <c r="H97" s="17"/>
      <c r="I97" s="17"/>
      <c r="K97" s="37"/>
    </row>
    <row r="98" spans="1:11" x14ac:dyDescent="0.3">
      <c r="A98" s="11">
        <v>14</v>
      </c>
      <c r="B98" s="36"/>
      <c r="C98" s="36"/>
      <c r="D98" s="17"/>
      <c r="E98" s="17"/>
      <c r="F98" s="17"/>
      <c r="G98" s="17"/>
      <c r="H98" s="17"/>
      <c r="I98" s="17"/>
      <c r="K98" s="37"/>
    </row>
    <row r="105" spans="1:11" x14ac:dyDescent="0.3">
      <c r="A105" s="40" t="s">
        <v>42</v>
      </c>
    </row>
    <row r="106" spans="1:11" x14ac:dyDescent="0.3">
      <c r="A106" s="41" t="s">
        <v>112</v>
      </c>
    </row>
    <row r="107" spans="1:11" x14ac:dyDescent="0.3">
      <c r="A107" s="42" t="s">
        <v>86</v>
      </c>
    </row>
    <row r="126" spans="1:1" x14ac:dyDescent="0.3">
      <c r="A126" s="40" t="s">
        <v>56</v>
      </c>
    </row>
    <row r="127" spans="1:1" x14ac:dyDescent="0.3">
      <c r="A127" s="41" t="s">
        <v>43</v>
      </c>
    </row>
    <row r="128" spans="1:1" x14ac:dyDescent="0.3">
      <c r="A128" s="42" t="s">
        <v>86</v>
      </c>
    </row>
    <row r="144" s="3" customFormat="1" ht="69.75" customHeight="1" x14ac:dyDescent="0.3"/>
    <row r="145" spans="1:3" x14ac:dyDescent="0.3">
      <c r="A145" s="43" t="s">
        <v>115</v>
      </c>
    </row>
    <row r="146" spans="1:3" x14ac:dyDescent="0.3">
      <c r="A146" s="44" t="s">
        <v>44</v>
      </c>
    </row>
    <row r="147" spans="1:3" x14ac:dyDescent="0.3">
      <c r="A147" s="42"/>
    </row>
    <row r="150" spans="1:3" x14ac:dyDescent="0.3">
      <c r="B150" s="9" t="s">
        <v>2</v>
      </c>
      <c r="C150" s="9" t="s">
        <v>87</v>
      </c>
    </row>
    <row r="151" spans="1:3" ht="18" x14ac:dyDescent="0.3">
      <c r="B151" s="9" t="s">
        <v>106</v>
      </c>
      <c r="C151" s="9" t="s">
        <v>13</v>
      </c>
    </row>
    <row r="152" spans="1:3" x14ac:dyDescent="0.3">
      <c r="B152" s="9"/>
      <c r="C152" s="9"/>
    </row>
    <row r="153" spans="1:3" x14ac:dyDescent="0.3">
      <c r="A153" s="3">
        <v>1200</v>
      </c>
      <c r="B153" s="45"/>
      <c r="C153" s="46"/>
    </row>
    <row r="154" spans="1:3" x14ac:dyDescent="0.3">
      <c r="A154" s="3">
        <v>1200</v>
      </c>
      <c r="B154" s="45"/>
      <c r="C154" s="46"/>
    </row>
    <row r="159" spans="1:3" ht="51.75" customHeight="1" x14ac:dyDescent="0.3"/>
    <row r="160" spans="1:3" x14ac:dyDescent="0.3">
      <c r="A160" s="43" t="s">
        <v>55</v>
      </c>
    </row>
    <row r="161" spans="1:5" x14ac:dyDescent="0.3">
      <c r="A161" s="41" t="s">
        <v>45</v>
      </c>
    </row>
    <row r="163" spans="1:5" x14ac:dyDescent="0.3">
      <c r="B163" s="9" t="s">
        <v>2</v>
      </c>
      <c r="C163" s="9" t="s">
        <v>102</v>
      </c>
    </row>
    <row r="164" spans="1:5" ht="18" x14ac:dyDescent="0.3">
      <c r="B164" s="9" t="s">
        <v>106</v>
      </c>
      <c r="C164" s="9" t="s">
        <v>13</v>
      </c>
    </row>
    <row r="166" spans="1:5" x14ac:dyDescent="0.3">
      <c r="A166" s="5" t="s">
        <v>101</v>
      </c>
      <c r="B166" s="45"/>
      <c r="C166" s="46"/>
      <c r="D166" s="47"/>
      <c r="E166" s="9"/>
    </row>
    <row r="168" spans="1:5" x14ac:dyDescent="0.3">
      <c r="A168" s="9" t="s">
        <v>96</v>
      </c>
      <c r="B168" s="9" t="s">
        <v>97</v>
      </c>
      <c r="C168" s="9" t="s">
        <v>98</v>
      </c>
      <c r="D168" s="9" t="s">
        <v>99</v>
      </c>
      <c r="E168" s="9" t="s">
        <v>100</v>
      </c>
    </row>
    <row r="169" spans="1:5" ht="18" x14ac:dyDescent="0.3">
      <c r="A169" s="9" t="s">
        <v>11</v>
      </c>
      <c r="B169" s="9" t="s">
        <v>106</v>
      </c>
      <c r="C169" s="9" t="s">
        <v>13</v>
      </c>
      <c r="D169" s="9" t="s">
        <v>11</v>
      </c>
      <c r="E169" s="9" t="s">
        <v>11</v>
      </c>
    </row>
    <row r="170" spans="1:5" x14ac:dyDescent="0.3">
      <c r="A170" s="9"/>
    </row>
    <row r="171" spans="1:5" x14ac:dyDescent="0.3">
      <c r="A171" s="9">
        <v>1200</v>
      </c>
      <c r="B171" s="45"/>
      <c r="C171" s="46"/>
      <c r="D171" s="17"/>
      <c r="E171" s="17"/>
    </row>
    <row r="172" spans="1:5" x14ac:dyDescent="0.3">
      <c r="A172" s="9">
        <v>1200</v>
      </c>
      <c r="B172" s="45"/>
      <c r="C172" s="46"/>
      <c r="D172" s="17"/>
      <c r="E172" s="17"/>
    </row>
    <row r="173" spans="1:5" x14ac:dyDescent="0.3">
      <c r="B173" s="9"/>
      <c r="C173" s="9"/>
      <c r="D173" s="9"/>
      <c r="E173" s="9"/>
    </row>
    <row r="175" spans="1:5" ht="59.25" customHeight="1" x14ac:dyDescent="0.3"/>
    <row r="176" spans="1:5" x14ac:dyDescent="0.3">
      <c r="A176" s="43" t="s">
        <v>54</v>
      </c>
    </row>
    <row r="177" spans="1:14" x14ac:dyDescent="0.3">
      <c r="A177" s="41" t="s">
        <v>46</v>
      </c>
    </row>
    <row r="178" spans="1:14" x14ac:dyDescent="0.3">
      <c r="A178" s="42" t="s">
        <v>86</v>
      </c>
    </row>
    <row r="179" spans="1:14" x14ac:dyDescent="0.3">
      <c r="C179" s="9" t="s">
        <v>78</v>
      </c>
      <c r="D179" s="9" t="s">
        <v>78</v>
      </c>
      <c r="E179" s="9" t="s">
        <v>78</v>
      </c>
      <c r="F179" s="9" t="s">
        <v>78</v>
      </c>
      <c r="G179" s="9" t="s">
        <v>78</v>
      </c>
      <c r="H179" s="9"/>
      <c r="I179" s="9" t="s">
        <v>50</v>
      </c>
      <c r="J179" s="9" t="s">
        <v>51</v>
      </c>
      <c r="L179" s="5" t="s">
        <v>77</v>
      </c>
      <c r="M179" s="32">
        <v>7000</v>
      </c>
      <c r="N179" s="3" t="s">
        <v>40</v>
      </c>
    </row>
    <row r="180" spans="1:14" x14ac:dyDescent="0.3">
      <c r="C180" s="9" t="s">
        <v>81</v>
      </c>
      <c r="D180" s="9" t="s">
        <v>82</v>
      </c>
      <c r="E180" s="9" t="s">
        <v>83</v>
      </c>
      <c r="F180" s="9" t="s">
        <v>84</v>
      </c>
      <c r="G180" s="9" t="s">
        <v>85</v>
      </c>
      <c r="H180" s="9" t="s">
        <v>15</v>
      </c>
      <c r="I180" s="9" t="s">
        <v>79</v>
      </c>
      <c r="J180" s="9" t="s">
        <v>80</v>
      </c>
      <c r="L180" s="5" t="s">
        <v>76</v>
      </c>
      <c r="M180" s="48">
        <v>0.8</v>
      </c>
    </row>
    <row r="181" spans="1:14" ht="18" x14ac:dyDescent="0.3">
      <c r="C181" s="9" t="s">
        <v>13</v>
      </c>
      <c r="D181" s="9" t="s">
        <v>106</v>
      </c>
      <c r="E181" s="9" t="s">
        <v>106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93</v>
      </c>
      <c r="M181" s="48">
        <v>0.95</v>
      </c>
    </row>
    <row r="182" spans="1:14" x14ac:dyDescent="0.3">
      <c r="C182" s="9"/>
      <c r="D182" s="9"/>
      <c r="E182" s="9"/>
      <c r="F182" s="9"/>
      <c r="G182" s="9"/>
      <c r="H182" s="9"/>
      <c r="I182" s="9"/>
      <c r="J182" s="9"/>
    </row>
    <row r="183" spans="1:14" x14ac:dyDescent="0.3">
      <c r="A183" s="3" t="s">
        <v>47</v>
      </c>
      <c r="C183" s="49"/>
      <c r="D183" s="49"/>
      <c r="E183" s="49"/>
      <c r="F183" s="50"/>
      <c r="G183" s="17"/>
      <c r="H183" s="17"/>
      <c r="I183" s="17"/>
      <c r="J183" s="17"/>
    </row>
    <row r="184" spans="1:14" x14ac:dyDescent="0.3">
      <c r="A184" s="3" t="s">
        <v>47</v>
      </c>
      <c r="C184" s="49"/>
      <c r="D184" s="49"/>
      <c r="E184" s="49"/>
      <c r="F184" s="50"/>
      <c r="G184" s="17"/>
      <c r="H184" s="17"/>
      <c r="I184" s="17"/>
      <c r="J184" s="17"/>
    </row>
    <row r="185" spans="1:14" x14ac:dyDescent="0.3">
      <c r="A185" s="3" t="s">
        <v>48</v>
      </c>
      <c r="C185" s="49"/>
      <c r="D185" s="49"/>
      <c r="E185" s="49"/>
      <c r="F185" s="50"/>
      <c r="G185" s="17"/>
      <c r="H185" s="17"/>
      <c r="I185" s="17"/>
      <c r="J185" s="17"/>
    </row>
    <row r="186" spans="1:14" x14ac:dyDescent="0.3">
      <c r="A186" s="3" t="s">
        <v>49</v>
      </c>
      <c r="C186" s="49"/>
      <c r="D186" s="49"/>
      <c r="E186" s="49"/>
      <c r="F186" s="50"/>
      <c r="G186" s="17"/>
      <c r="H186" s="17"/>
      <c r="I186" s="17"/>
      <c r="J186" s="17"/>
    </row>
    <row r="187" spans="1:14" x14ac:dyDescent="0.3">
      <c r="A187" s="3" t="s">
        <v>52</v>
      </c>
      <c r="C187" s="49"/>
      <c r="D187" s="49"/>
      <c r="E187" s="49"/>
      <c r="F187" s="50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  <drawing r:id="rId2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25</vt:i4>
      </vt:variant>
    </vt:vector>
  </HeadingPairs>
  <TitlesOfParts>
    <vt:vector size="26" baseType="lpstr">
      <vt:lpstr>Sheet1</vt:lpstr>
      <vt:lpstr>delta_z</vt:lpstr>
      <vt:lpstr>Densitet</vt:lpstr>
      <vt:lpstr>Dynamisk_viskositet</vt:lpstr>
      <vt:lpstr>Engångs_sug</vt:lpstr>
      <vt:lpstr>Engångs_tryck</vt:lpstr>
      <vt:lpstr>Euler_rpm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2026-05-19T14:16:45Z</dcterms:modified>
</cp:coreProperties>
</file>