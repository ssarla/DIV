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defaultThemeVersion="124226"/>
  <xr:revisionPtr revIDLastSave="0" documentId="13_ncr:1_{47DC66CE-9C1F-4E77-B556-2EE23FEB83B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delta_z">Sheet1!$H$2</definedName>
    <definedName name="Densitet">Sheet1!$B$3</definedName>
    <definedName name="Dynamisk_viskositet">Sheet1!$E$79</definedName>
    <definedName name="Engångs_sug">Sheet1!$H$78</definedName>
    <definedName name="Engångs_tryck">Sheet1!$H$79</definedName>
    <definedName name="Euler_u2">Sheet1!$L$45</definedName>
    <definedName name="H_stat">Sheet1!$H$77</definedName>
    <definedName name="Hpv">Sheet1!$H$94</definedName>
    <definedName name="Hävarm">Sheet1!$G$2</definedName>
    <definedName name="PumpDiam_sug">Sheet1!$I$2</definedName>
    <definedName name="PumpDiam_tryck">Sheet1!$J$2</definedName>
    <definedName name="PumphjulsDiam">Sheet1!$B$7</definedName>
    <definedName name="PumphjulsÖppning">Sheet1!$B$8</definedName>
    <definedName name="RörDiam_sug">Sheet1!$B$77</definedName>
    <definedName name="RörDiam_tryck">Sheet1!$B$78</definedName>
    <definedName name="RörLängd_sug">Sheet1!$E$77</definedName>
    <definedName name="RörLängd_tryck">Sheet1!$E$78</definedName>
    <definedName name="Skovelvinkel">Sheet1!$B$9</definedName>
    <definedName name="Tyngdacc">Sheet1!$B$4</definedName>
    <definedName name="Verkningsgrad_elmotor">Sheet1!$M$180</definedName>
    <definedName name="Verkningsgrad_frekvensomriktare">Sheet1!$M$181</definedName>
    <definedName name="Ytråhet">Sheet1!$B$79</definedName>
    <definedName name="Årlig_drifttid">Sheet1!$M$179</definedName>
    <definedName name="π">Sheet1!$B$10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3" i="1" l="1"/>
  <c r="O34" i="1"/>
  <c r="O35" i="1"/>
  <c r="O36" i="1"/>
  <c r="O37" i="1"/>
  <c r="O38" i="1"/>
  <c r="O39" i="1"/>
  <c r="O40" i="1"/>
  <c r="O41" i="1"/>
  <c r="O32" i="1"/>
  <c r="O18" i="1"/>
  <c r="O19" i="1"/>
  <c r="O20" i="1"/>
  <c r="O21" i="1"/>
  <c r="O22" i="1"/>
  <c r="O23" i="1"/>
  <c r="O24" i="1"/>
  <c r="O25" i="1"/>
  <c r="O26" i="1"/>
  <c r="M33" i="1"/>
  <c r="M34" i="1"/>
  <c r="M35" i="1"/>
  <c r="M36" i="1"/>
  <c r="M37" i="1"/>
  <c r="M38" i="1"/>
  <c r="M39" i="1"/>
  <c r="M40" i="1"/>
  <c r="M41" i="1"/>
  <c r="M32" i="1"/>
  <c r="M18" i="1"/>
  <c r="M19" i="1"/>
  <c r="M20" i="1"/>
  <c r="M21" i="1"/>
  <c r="M22" i="1"/>
  <c r="M23" i="1"/>
  <c r="M24" i="1"/>
  <c r="M25" i="1"/>
  <c r="M26" i="1"/>
  <c r="N33" i="1"/>
  <c r="N34" i="1"/>
  <c r="N35" i="1"/>
  <c r="N36" i="1"/>
  <c r="N37" i="1"/>
  <c r="N38" i="1"/>
  <c r="N39" i="1"/>
  <c r="N40" i="1"/>
  <c r="N41" i="1"/>
  <c r="N32" i="1"/>
  <c r="N18" i="1"/>
  <c r="N19" i="1"/>
  <c r="N20" i="1"/>
  <c r="N21" i="1"/>
  <c r="N22" i="1"/>
  <c r="N23" i="1"/>
  <c r="N24" i="1"/>
  <c r="N25" i="1"/>
  <c r="N26" i="1"/>
  <c r="N17" i="1"/>
  <c r="J17" i="1"/>
  <c r="M17" i="1"/>
  <c r="L33" i="1"/>
  <c r="L34" i="1"/>
  <c r="L35" i="1"/>
  <c r="L36" i="1"/>
  <c r="L37" i="1"/>
  <c r="L38" i="1"/>
  <c r="L39" i="1"/>
  <c r="L40" i="1"/>
  <c r="L41" i="1"/>
  <c r="L32" i="1"/>
  <c r="L18" i="1"/>
  <c r="L19" i="1"/>
  <c r="L20" i="1"/>
  <c r="L21" i="1"/>
  <c r="L22" i="1"/>
  <c r="L23" i="1"/>
  <c r="L24" i="1"/>
  <c r="L25" i="1"/>
  <c r="L26" i="1"/>
  <c r="L17" i="1"/>
  <c r="J33" i="1"/>
  <c r="J34" i="1"/>
  <c r="J35" i="1"/>
  <c r="J36" i="1"/>
  <c r="J37" i="1"/>
  <c r="J38" i="1"/>
  <c r="J39" i="1"/>
  <c r="J40" i="1"/>
  <c r="J41" i="1"/>
  <c r="J32" i="1"/>
  <c r="J18" i="1"/>
  <c r="J19" i="1"/>
  <c r="J20" i="1"/>
  <c r="J21" i="1"/>
  <c r="J22" i="1"/>
  <c r="J23" i="1"/>
  <c r="J24" i="1"/>
  <c r="J25" i="1"/>
  <c r="J26" i="1"/>
  <c r="I18" i="1"/>
  <c r="I19" i="1"/>
  <c r="I20" i="1"/>
  <c r="I21" i="1"/>
  <c r="I22" i="1"/>
  <c r="I23" i="1"/>
  <c r="I24" i="1"/>
  <c r="I25" i="1"/>
  <c r="I26" i="1"/>
  <c r="I17" i="1"/>
  <c r="I33" i="1"/>
  <c r="I34" i="1"/>
  <c r="I35" i="1"/>
  <c r="I36" i="1"/>
  <c r="I37" i="1"/>
  <c r="I38" i="1"/>
  <c r="I39" i="1"/>
  <c r="I40" i="1"/>
  <c r="I41" i="1"/>
  <c r="I32" i="1"/>
  <c r="K33" i="1"/>
  <c r="K34" i="1"/>
  <c r="K35" i="1"/>
  <c r="K36" i="1"/>
  <c r="K37" i="1"/>
  <c r="K38" i="1"/>
  <c r="K39" i="1"/>
  <c r="K40" i="1"/>
  <c r="K41" i="1"/>
  <c r="K32" i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32" i="1"/>
  <c r="H32" i="1" s="1"/>
  <c r="K18" i="1"/>
  <c r="K19" i="1"/>
  <c r="K20" i="1"/>
  <c r="K21" i="1"/>
  <c r="K22" i="1"/>
  <c r="K23" i="1"/>
  <c r="K24" i="1"/>
  <c r="K25" i="1"/>
  <c r="K26" i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" i="1"/>
  <c r="H2" i="1"/>
  <c r="I2" i="1"/>
  <c r="J2" i="1"/>
  <c r="O17" i="1" l="1"/>
  <c r="G17" i="1"/>
  <c r="H17" i="1" s="1"/>
  <c r="K17" i="1"/>
  <c r="B10" i="1" l="1"/>
  <c r="B85" i="1" l="1"/>
  <c r="C85" i="1"/>
  <c r="C84" i="1"/>
  <c r="B84" i="1"/>
</calcChain>
</file>

<file path=xl/sharedStrings.xml><?xml version="1.0" encoding="utf-8"?>
<sst xmlns="http://schemas.openxmlformats.org/spreadsheetml/2006/main" count="237" uniqueCount="121">
  <si>
    <t>Pin</t>
  </si>
  <si>
    <t>Put</t>
  </si>
  <si>
    <t>Flöde</t>
  </si>
  <si>
    <t>H,stat</t>
  </si>
  <si>
    <t>kWh</t>
  </si>
  <si>
    <t>L/h</t>
  </si>
  <si>
    <t>Reflex/min</t>
  </si>
  <si>
    <t>Våg</t>
  </si>
  <si>
    <t>gram</t>
  </si>
  <si>
    <t>Pumpvarvtal</t>
  </si>
  <si>
    <t>Motorvarvtal</t>
  </si>
  <si>
    <t>rpm</t>
  </si>
  <si>
    <t>Uppfordringhöjd</t>
  </si>
  <si>
    <t>m</t>
  </si>
  <si>
    <t>Nyttig effekt</t>
  </si>
  <si>
    <t>Axeleffekt</t>
  </si>
  <si>
    <t>W</t>
  </si>
  <si>
    <t>mbar</t>
  </si>
  <si>
    <t>kPa</t>
  </si>
  <si>
    <t>Verkningsgrad</t>
  </si>
  <si>
    <t>Rördiameter, sug</t>
  </si>
  <si>
    <t>Rördiameter, tryck</t>
  </si>
  <si>
    <t>RörLängd,sug</t>
  </si>
  <si>
    <t>RörLängd,tryck</t>
  </si>
  <si>
    <t>Re,sug</t>
  </si>
  <si>
    <t>Re,tryck</t>
  </si>
  <si>
    <t>Lambda,sug</t>
  </si>
  <si>
    <t>Lambda,tryck</t>
  </si>
  <si>
    <t>Hf,sug</t>
  </si>
  <si>
    <t>Hf,tryck</t>
  </si>
  <si>
    <t>-</t>
  </si>
  <si>
    <t>Dyn_visc</t>
  </si>
  <si>
    <t>Hz</t>
  </si>
  <si>
    <t>Växelström</t>
  </si>
  <si>
    <t>Vridmoment</t>
  </si>
  <si>
    <t>Nm</t>
  </si>
  <si>
    <t>Eftersläpning</t>
  </si>
  <si>
    <t>%</t>
  </si>
  <si>
    <t>Hsystem</t>
  </si>
  <si>
    <t>Takometer</t>
  </si>
  <si>
    <t>h</t>
  </si>
  <si>
    <t>Pas</t>
  </si>
  <si>
    <t>2. Vridmoment vs asynkronmotorns eftersläpning</t>
  </si>
  <si>
    <t>Vilka av de fyra affinitetslagarna verkar fungera bäst respektive sämst?</t>
  </si>
  <si>
    <t xml:space="preserve">Vad blir flödet i fiktiva systemet vid de två varvtalen? </t>
  </si>
  <si>
    <t>Vad blir varvtalet beräknat på de fyra sätten?</t>
  </si>
  <si>
    <t>Vilka metoder för reglering av flödet kräver mest respektive minst elenergi?</t>
  </si>
  <si>
    <t>Varvtalsreglering beräknat från 1200-data</t>
  </si>
  <si>
    <t>Varvtalsreglering beräknat från 1500-data</t>
  </si>
  <si>
    <t>Strypreglering</t>
  </si>
  <si>
    <t>Shuntreglering</t>
  </si>
  <si>
    <t>Elektrisk effekt</t>
  </si>
  <si>
    <t>Årlig elenergi</t>
  </si>
  <si>
    <t>Till/från</t>
  </si>
  <si>
    <t>Likformkurva,10</t>
  </si>
  <si>
    <t>4.3 Energianvändning vid olika metoder för reglering av flödet</t>
  </si>
  <si>
    <t>4.2 Varvtal för att uppnå ett specificerat flöde</t>
  </si>
  <si>
    <t>4.1 Flöde i systemet vid de två varvtalen (1200 resp 1500 rpm)</t>
  </si>
  <si>
    <t>3. Utvärdering av affinitetslagar</t>
  </si>
  <si>
    <t>PumphjulsDiam</t>
  </si>
  <si>
    <t>Tyngdacc</t>
  </si>
  <si>
    <t>Euler</t>
  </si>
  <si>
    <t>Hävarm</t>
  </si>
  <si>
    <t>Δz</t>
  </si>
  <si>
    <t>grader</t>
  </si>
  <si>
    <t>PumphjulsÖppning</t>
  </si>
  <si>
    <t>Densitet</t>
  </si>
  <si>
    <t>Diam anslutning sug</t>
  </si>
  <si>
    <t>Diam anslutning tryck</t>
  </si>
  <si>
    <t>Fiktiva rörsystemet, kap 4</t>
  </si>
  <si>
    <t>Mätserie A. Pumpprestanda finjusterade till 1500 rpm, kap 2</t>
  </si>
  <si>
    <t>Mätserie B. Pumpprestanda finjusterade till 1200 rpm, kap 2</t>
  </si>
  <si>
    <t>kap 4.2</t>
  </si>
  <si>
    <t xml:space="preserve">Grupp nummer namn namn </t>
  </si>
  <si>
    <t>Euler, Maximal teoretisk uppfordringshöjd, kap 3</t>
  </si>
  <si>
    <t>Varvtal=</t>
  </si>
  <si>
    <t>m/s</t>
  </si>
  <si>
    <t>J/kg</t>
  </si>
  <si>
    <t>Engång.koef. Σξ tryck</t>
  </si>
  <si>
    <t>π</t>
  </si>
  <si>
    <t>Verkningsgrad elmotor</t>
  </si>
  <si>
    <t>Anläggningens årliga drifttid</t>
  </si>
  <si>
    <t>Pumpens</t>
  </si>
  <si>
    <t>till elmotorn</t>
  </si>
  <si>
    <t>från elnätet</t>
  </si>
  <si>
    <t>uppfordringshöjd</t>
  </si>
  <si>
    <t>flöde</t>
  </si>
  <si>
    <t>diagramflöde</t>
  </si>
  <si>
    <t>verkningsgrad</t>
  </si>
  <si>
    <t>nyttiga effekt</t>
  </si>
  <si>
    <t>Svar</t>
  </si>
  <si>
    <t>Mätserie A. Mätvärden uppmätta i vid 1500 rpm +-3%, kap 1</t>
  </si>
  <si>
    <t>Uppfordringshöjd</t>
  </si>
  <si>
    <t>Mätserie B. Mätvärden uppmätta i vid 1200 rpm +-3%, kap 1</t>
  </si>
  <si>
    <t>Beräknade värden vid uppmätt varvtal, 15xx rpm, kap 2</t>
  </si>
  <si>
    <t>Beräknade värden vid uppmätt varvtal, 12xx rpm, kap 2</t>
  </si>
  <si>
    <t>Medelvärden som används i beräkningarna, m:</t>
  </si>
  <si>
    <t>Upprepade mätningar, mm:</t>
  </si>
  <si>
    <t>Verkningsgrad frekvensomriktare</t>
  </si>
  <si>
    <t>Ytråhet (skrovlighet)</t>
  </si>
  <si>
    <t>Mätserie B. Pumpprestanda omräknade till 1500 rpm, test av affinitetslagar, kap 3</t>
  </si>
  <si>
    <t>Diagramvarvtal</t>
  </si>
  <si>
    <t>Diagramflöde</t>
  </si>
  <si>
    <t>DiagramHp</t>
  </si>
  <si>
    <t>nv, flöde</t>
  </si>
  <si>
    <t>nv, Hp</t>
  </si>
  <si>
    <t>Verkligt, önskat:</t>
  </si>
  <si>
    <t>Hp</t>
  </si>
  <si>
    <r>
      <t>kg/m</t>
    </r>
    <r>
      <rPr>
        <vertAlign val="superscript"/>
        <sz val="11"/>
        <color theme="1"/>
        <rFont val="Arial Narrow"/>
        <family val="2"/>
      </rPr>
      <t>3</t>
    </r>
  </si>
  <si>
    <r>
      <t>m/s</t>
    </r>
    <r>
      <rPr>
        <vertAlign val="superscript"/>
        <sz val="11"/>
        <color theme="1"/>
        <rFont val="Arial Narrow"/>
        <family val="2"/>
      </rPr>
      <t>2</t>
    </r>
  </si>
  <si>
    <r>
      <t>Skovelvinkel, β</t>
    </r>
    <r>
      <rPr>
        <sz val="8.25"/>
        <color theme="1"/>
        <rFont val="Arial Narrow"/>
        <family val="2"/>
      </rPr>
      <t>2</t>
    </r>
  </si>
  <si>
    <r>
      <t>m</t>
    </r>
    <r>
      <rPr>
        <vertAlign val="superscript"/>
        <sz val="11"/>
        <color theme="1"/>
        <rFont val="Arial Narrow"/>
        <family val="2"/>
      </rPr>
      <t>3</t>
    </r>
    <r>
      <rPr>
        <sz val="11"/>
        <color theme="1"/>
        <rFont val="Arial Narrow"/>
        <family val="2"/>
      </rPr>
      <t>/h</t>
    </r>
  </si>
  <si>
    <r>
      <t>u</t>
    </r>
    <r>
      <rPr>
        <vertAlign val="subscript"/>
        <sz val="11"/>
        <color theme="1"/>
        <rFont val="Arial Narrow"/>
        <family val="2"/>
      </rPr>
      <t>2</t>
    </r>
    <r>
      <rPr>
        <sz val="11"/>
        <color theme="1"/>
        <rFont val="Arial Narrow"/>
        <family val="2"/>
      </rPr>
      <t>=</t>
    </r>
  </si>
  <si>
    <r>
      <t>c</t>
    </r>
    <r>
      <rPr>
        <vertAlign val="subscript"/>
        <sz val="11"/>
        <color theme="1"/>
        <rFont val="Arial Narrow"/>
        <family val="2"/>
      </rPr>
      <t>2m</t>
    </r>
  </si>
  <si>
    <r>
      <t>c</t>
    </r>
    <r>
      <rPr>
        <vertAlign val="subscript"/>
        <sz val="11"/>
        <color theme="1"/>
        <rFont val="Arial Narrow"/>
        <family val="2"/>
      </rPr>
      <t>2u</t>
    </r>
  </si>
  <si>
    <r>
      <t>l</t>
    </r>
    <r>
      <rPr>
        <vertAlign val="subscript"/>
        <sz val="11"/>
        <color theme="1"/>
        <rFont val="Arial Narrow"/>
        <family val="2"/>
      </rPr>
      <t>sk</t>
    </r>
  </si>
  <si>
    <t>Engång.koef. Σξ sug</t>
  </si>
  <si>
    <r>
      <t>Hur förväntas de förhålla sig och hur ser det ut?</t>
    </r>
    <r>
      <rPr>
        <sz val="11"/>
        <color theme="1"/>
        <rFont val="Arial Narrow"/>
        <family val="2"/>
      </rPr>
      <t xml:space="preserve"> </t>
    </r>
  </si>
  <si>
    <t>60.9</t>
  </si>
  <si>
    <t>61.09</t>
  </si>
  <si>
    <t>60.8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</si>
</sst>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name val="Arial Narrow"/>
      <family val="2"/>
    </font>
    <font>
      <sz val="11"/>
      <name val="Arial Narrow"/>
      <family val="2"/>
    </font>
    <font>
      <vertAlign val="superscript"/>
      <sz val="11"/>
      <color theme="1"/>
      <name val="Arial Narrow"/>
      <family val="2"/>
    </font>
    <font>
      <sz val="8.25"/>
      <color theme="1"/>
      <name val="Arial Narrow"/>
      <family val="2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i/>
      <sz val="11"/>
      <color theme="1"/>
      <name val="Arial Narrow"/>
      <family val="2"/>
    </font>
    <font>
      <b/>
      <sz val="12"/>
      <name val="Arial Narrow"/>
      <family val="2"/>
    </font>
    <font>
      <vertAlign val="subscript"/>
      <sz val="11"/>
      <color theme="1"/>
      <name val="Arial Narrow"/>
      <family val="2"/>
    </font>
    <font>
      <b/>
      <sz val="11"/>
      <color rgb="FF4F81BD"/>
      <name val="Arial Narrow"/>
      <family val="2"/>
    </font>
    <font>
      <sz val="11"/>
      <color rgb="FF00B050"/>
      <name val="Arial Narrow"/>
      <family val="2"/>
    </font>
    <font>
      <sz val="11"/>
      <color rgb="FFFF0000"/>
      <name val="Arial Narrow"/>
      <family val="2"/>
    </font>
    <font>
      <sz val="11"/>
      <color rgb="FF365F91"/>
      <name val="Arial Narrow"/>
      <family val="2"/>
    </font>
    <font>
      <b/>
      <sz val="11"/>
      <color rgb="FF00B05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3" fillId="3" borderId="0" xfId="0" applyFont="1" applyFill="1" applyAlignment="1">
      <alignment horizontal="center"/>
    </xf>
    <xf numFmtId="0" fontId="6" fillId="2" borderId="0" xfId="0" applyFont="1" applyFill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3" fillId="2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164" fontId="10" fillId="0" borderId="0" xfId="0" applyNumberFormat="1" applyFont="1"/>
    <xf numFmtId="0" fontId="3" fillId="0" borderId="1" xfId="0" applyFont="1" applyBorder="1" applyAlignment="1">
      <alignment horizontal="center"/>
    </xf>
    <xf numFmtId="0" fontId="3" fillId="0" borderId="0" xfId="0" quotePrefix="1" applyFont="1" applyAlignment="1">
      <alignment horizontal="center"/>
    </xf>
    <xf numFmtId="0" fontId="3" fillId="3" borderId="2" xfId="0" applyFont="1" applyFill="1" applyBorder="1" applyAlignment="1">
      <alignment horizontal="center"/>
    </xf>
    <xf numFmtId="10" fontId="3" fillId="3" borderId="2" xfId="1" applyNumberFormat="1" applyFont="1" applyFill="1" applyBorder="1" applyAlignment="1">
      <alignment horizontal="center"/>
    </xf>
    <xf numFmtId="0" fontId="11" fillId="0" borderId="0" xfId="0" applyFont="1"/>
    <xf numFmtId="166" fontId="3" fillId="0" borderId="0" xfId="1" applyNumberFormat="1" applyFont="1"/>
    <xf numFmtId="0" fontId="3" fillId="0" borderId="0" xfId="1" applyNumberFormat="1" applyFont="1"/>
    <xf numFmtId="0" fontId="4" fillId="0" borderId="0" xfId="0" applyFont="1"/>
    <xf numFmtId="164" fontId="12" fillId="0" borderId="0" xfId="0" applyNumberFormat="1" applyFont="1"/>
    <xf numFmtId="1" fontId="11" fillId="0" borderId="0" xfId="0" applyNumberFormat="1" applyFont="1"/>
    <xf numFmtId="165" fontId="11" fillId="0" borderId="0" xfId="0" applyNumberFormat="1" applyFont="1"/>
    <xf numFmtId="2" fontId="11" fillId="0" borderId="0" xfId="0" applyNumberFormat="1" applyFont="1"/>
    <xf numFmtId="166" fontId="4" fillId="0" borderId="0" xfId="1" applyNumberFormat="1" applyFont="1"/>
    <xf numFmtId="2" fontId="4" fillId="0" borderId="0" xfId="0" applyNumberFormat="1" applyFont="1"/>
    <xf numFmtId="165" fontId="3" fillId="3" borderId="0" xfId="0" applyNumberFormat="1" applyFont="1" applyFill="1"/>
    <xf numFmtId="0" fontId="3" fillId="3" borderId="2" xfId="1" applyNumberFormat="1" applyFont="1" applyFill="1" applyBorder="1" applyAlignment="1">
      <alignment horizontal="center"/>
    </xf>
    <xf numFmtId="2" fontId="3" fillId="0" borderId="0" xfId="0" applyNumberFormat="1" applyFont="1" applyAlignment="1">
      <alignment horizontal="center"/>
    </xf>
    <xf numFmtId="9" fontId="3" fillId="0" borderId="0" xfId="1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quotePrefix="1" applyFont="1"/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3" fontId="3" fillId="3" borderId="2" xfId="0" applyNumberFormat="1" applyFont="1" applyFill="1" applyBorder="1" applyAlignment="1">
      <alignment horizontal="center"/>
    </xf>
    <xf numFmtId="2" fontId="3" fillId="0" borderId="0" xfId="0" applyNumberFormat="1" applyFont="1"/>
    <xf numFmtId="0" fontId="3" fillId="5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/>
    <xf numFmtId="0" fontId="17" fillId="0" borderId="0" xfId="0" applyFont="1" applyAlignment="1">
      <alignment vertical="center"/>
    </xf>
    <xf numFmtId="0" fontId="15" fillId="0" borderId="0" xfId="0" applyFont="1"/>
    <xf numFmtId="165" fontId="18" fillId="6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9" fontId="3" fillId="2" borderId="0" xfId="0" applyNumberFormat="1" applyFont="1" applyFill="1" applyAlignment="1">
      <alignment horizontal="center"/>
    </xf>
    <xf numFmtId="0" fontId="3" fillId="6" borderId="2" xfId="0" applyFont="1" applyFill="1" applyBorder="1" applyAlignment="1">
      <alignment horizontal="center"/>
    </xf>
    <xf numFmtId="10" fontId="3" fillId="6" borderId="2" xfId="1" applyNumberFormat="1" applyFont="1" applyFill="1" applyBorder="1" applyAlignment="1">
      <alignment horizontal="center"/>
    </xf>
    <xf numFmtId="2" fontId="3" fillId="3" borderId="2" xfId="0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AD0D276-5BD5-4AB3-9093-ED2DA379A4EC}">
  <we:reference id="wa200010725" version="1.0.0.1" store="en-US" storeType="OMEX"/>
  <we:alternateReferences>
    <we:reference id="WA200010725" version="1.0.0.1" store="WA20001072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7"/>
  <sheetViews>
    <sheetView tabSelected="1" zoomScale="88" zoomScaleNormal="130" workbookViewId="0">
      <selection activeCell="O20" sqref="O20"/>
    </sheetView>
  </sheetViews>
  <sheetFormatPr defaultColWidth="9.21875" defaultRowHeight="13.8" x14ac:dyDescent="0.25"/>
  <cols>
    <col min="1" max="1" width="20.77734375" style="3" customWidth="1"/>
    <col min="2" max="6" width="13.21875" style="3" customWidth="1"/>
    <col min="7" max="8" width="15" style="3" customWidth="1"/>
    <col min="9" max="9" width="17.33203125" style="3" customWidth="1"/>
    <col min="10" max="10" width="19.44140625" style="3" customWidth="1"/>
    <col min="11" max="15" width="15" style="3" customWidth="1"/>
    <col min="16" max="20" width="11.5546875" style="3" customWidth="1"/>
    <col min="21" max="16384" width="9.21875" style="3"/>
  </cols>
  <sheetData>
    <row r="1" spans="1:21" ht="18" x14ac:dyDescent="0.35">
      <c r="A1" s="1" t="s">
        <v>73</v>
      </c>
      <c r="B1" s="2"/>
      <c r="C1" s="2"/>
      <c r="D1" s="2"/>
      <c r="G1" s="4" t="s">
        <v>62</v>
      </c>
      <c r="H1" s="4" t="s">
        <v>63</v>
      </c>
      <c r="I1" s="10" t="s">
        <v>67</v>
      </c>
      <c r="J1" s="4" t="s">
        <v>68</v>
      </c>
    </row>
    <row r="2" spans="1:21" x14ac:dyDescent="0.25">
      <c r="E2" s="5"/>
      <c r="F2" s="6" t="s">
        <v>96</v>
      </c>
      <c r="G2" s="7">
        <f>AVERAGE(G5:G10)/1000</f>
        <v>0.17916666666666667</v>
      </c>
      <c r="H2" s="7">
        <f t="shared" ref="H2:J2" si="0">AVERAGE(H5:H10)/1000</f>
        <v>0.137375</v>
      </c>
      <c r="I2" s="7">
        <f t="shared" si="0"/>
        <v>6.0950000000000004E-2</v>
      </c>
      <c r="J2" s="7">
        <f t="shared" si="0"/>
        <v>3.9100000000000003E-2</v>
      </c>
    </row>
    <row r="3" spans="1:21" ht="16.2" x14ac:dyDescent="0.25">
      <c r="A3" s="3" t="s">
        <v>66</v>
      </c>
      <c r="B3" s="8">
        <v>998.2</v>
      </c>
      <c r="C3" s="3" t="s">
        <v>108</v>
      </c>
    </row>
    <row r="4" spans="1:21" ht="16.2" x14ac:dyDescent="0.25">
      <c r="A4" s="3" t="s">
        <v>60</v>
      </c>
      <c r="B4" s="8">
        <v>9.81</v>
      </c>
      <c r="C4" s="3" t="s">
        <v>109</v>
      </c>
      <c r="E4" s="5"/>
      <c r="F4" s="5"/>
      <c r="G4" s="9"/>
      <c r="H4" s="9"/>
      <c r="I4" s="9"/>
      <c r="J4" s="9"/>
      <c r="U4" s="10"/>
    </row>
    <row r="5" spans="1:21" x14ac:dyDescent="0.25">
      <c r="E5" s="5"/>
      <c r="F5" s="10" t="s">
        <v>97</v>
      </c>
      <c r="G5" s="11">
        <v>179</v>
      </c>
      <c r="H5" s="11">
        <v>136</v>
      </c>
      <c r="I5" s="11" t="s">
        <v>118</v>
      </c>
      <c r="J5" s="11">
        <v>39.22</v>
      </c>
      <c r="U5" s="5"/>
    </row>
    <row r="6" spans="1:21" x14ac:dyDescent="0.25">
      <c r="A6" s="10" t="s">
        <v>61</v>
      </c>
      <c r="G6" s="11">
        <v>179</v>
      </c>
      <c r="H6" s="11">
        <v>142</v>
      </c>
      <c r="I6" s="11">
        <v>61.1</v>
      </c>
      <c r="J6" s="11">
        <v>39.119999999999997</v>
      </c>
      <c r="U6" s="5"/>
    </row>
    <row r="7" spans="1:21" x14ac:dyDescent="0.25">
      <c r="A7" s="3" t="s">
        <v>59</v>
      </c>
      <c r="B7" s="2">
        <v>0.1371</v>
      </c>
      <c r="C7" s="3" t="s">
        <v>13</v>
      </c>
      <c r="G7" s="11">
        <v>180</v>
      </c>
      <c r="H7" s="11">
        <v>135</v>
      </c>
      <c r="I7" s="11" t="s">
        <v>118</v>
      </c>
      <c r="J7" s="11">
        <v>38.96</v>
      </c>
    </row>
    <row r="8" spans="1:21" x14ac:dyDescent="0.25">
      <c r="A8" s="3" t="s">
        <v>65</v>
      </c>
      <c r="B8" s="2">
        <v>9.1000000000000004E-3</v>
      </c>
      <c r="C8" s="3" t="s">
        <v>13</v>
      </c>
      <c r="G8" s="11">
        <v>179</v>
      </c>
      <c r="H8" s="11">
        <v>136.5</v>
      </c>
      <c r="I8" s="11" t="s">
        <v>119</v>
      </c>
      <c r="J8" s="11">
        <v>39.1</v>
      </c>
    </row>
    <row r="9" spans="1:21" ht="15.6" x14ac:dyDescent="0.3">
      <c r="A9" s="3" t="s">
        <v>110</v>
      </c>
      <c r="B9" s="2">
        <v>25</v>
      </c>
      <c r="C9" s="3" t="s">
        <v>64</v>
      </c>
      <c r="F9" s="12"/>
      <c r="G9" s="11">
        <v>179</v>
      </c>
      <c r="H9" s="11"/>
      <c r="I9" s="11" t="s">
        <v>120</v>
      </c>
      <c r="J9" s="11"/>
    </row>
    <row r="10" spans="1:21" ht="15.6" x14ac:dyDescent="0.3">
      <c r="A10" s="5" t="s">
        <v>79</v>
      </c>
      <c r="B10" s="9">
        <f>PI()</f>
        <v>3.1415926535897931</v>
      </c>
      <c r="F10" s="12"/>
      <c r="G10" s="11">
        <v>179</v>
      </c>
      <c r="H10" s="11"/>
      <c r="I10" s="11">
        <v>60.8</v>
      </c>
      <c r="J10" s="11"/>
    </row>
    <row r="13" spans="1:21" ht="15.6" x14ac:dyDescent="0.3">
      <c r="A13" s="13" t="s">
        <v>91</v>
      </c>
      <c r="G13" s="14" t="s">
        <v>94</v>
      </c>
    </row>
    <row r="14" spans="1:21" x14ac:dyDescent="0.25">
      <c r="A14" s="15" t="s">
        <v>2</v>
      </c>
      <c r="B14" s="9" t="s">
        <v>0</v>
      </c>
      <c r="C14" s="9" t="s">
        <v>1</v>
      </c>
      <c r="D14" s="9" t="s">
        <v>39</v>
      </c>
      <c r="E14" s="9" t="s">
        <v>7</v>
      </c>
      <c r="F14" s="9" t="s">
        <v>33</v>
      </c>
      <c r="G14" s="9" t="s">
        <v>10</v>
      </c>
      <c r="H14" s="9" t="s">
        <v>9</v>
      </c>
      <c r="I14" s="9" t="s">
        <v>36</v>
      </c>
      <c r="J14" s="9" t="s">
        <v>34</v>
      </c>
      <c r="K14" s="9" t="s">
        <v>2</v>
      </c>
      <c r="L14" s="9" t="s">
        <v>12</v>
      </c>
      <c r="M14" s="9" t="s">
        <v>14</v>
      </c>
      <c r="N14" s="9" t="s">
        <v>15</v>
      </c>
      <c r="O14" s="3" t="s">
        <v>19</v>
      </c>
    </row>
    <row r="15" spans="1:21" ht="16.2" x14ac:dyDescent="0.25">
      <c r="A15" s="15" t="s">
        <v>5</v>
      </c>
      <c r="B15" s="9" t="s">
        <v>17</v>
      </c>
      <c r="C15" s="9" t="s">
        <v>18</v>
      </c>
      <c r="D15" s="9" t="s">
        <v>6</v>
      </c>
      <c r="E15" s="9" t="s">
        <v>8</v>
      </c>
      <c r="F15" s="9" t="s">
        <v>32</v>
      </c>
      <c r="G15" s="9" t="s">
        <v>11</v>
      </c>
      <c r="H15" s="9" t="s">
        <v>11</v>
      </c>
      <c r="I15" s="16" t="s">
        <v>37</v>
      </c>
      <c r="J15" s="9" t="s">
        <v>35</v>
      </c>
      <c r="K15" s="9" t="s">
        <v>111</v>
      </c>
      <c r="L15" s="9" t="s">
        <v>13</v>
      </c>
      <c r="M15" s="9" t="s">
        <v>16</v>
      </c>
      <c r="N15" s="9" t="s">
        <v>16</v>
      </c>
      <c r="O15" s="16" t="s">
        <v>37</v>
      </c>
    </row>
    <row r="16" spans="1:21" x14ac:dyDescent="0.25">
      <c r="A16" s="15"/>
      <c r="B16" s="9"/>
      <c r="C16" s="9"/>
      <c r="D16" s="9"/>
      <c r="E16" s="9"/>
      <c r="F16" s="9"/>
      <c r="G16" s="9"/>
      <c r="H16" s="9"/>
      <c r="J16" s="9"/>
      <c r="K16" s="9"/>
      <c r="L16" s="9"/>
      <c r="M16" s="9"/>
      <c r="N16" s="9"/>
    </row>
    <row r="17" spans="1:20" x14ac:dyDescent="0.25">
      <c r="A17" s="11">
        <v>15600</v>
      </c>
      <c r="B17" s="11">
        <v>-5</v>
      </c>
      <c r="C17" s="11">
        <v>20</v>
      </c>
      <c r="D17" s="11">
        <v>6658</v>
      </c>
      <c r="E17" s="11">
        <v>764</v>
      </c>
      <c r="F17" s="11">
        <v>39.1</v>
      </c>
      <c r="G17" s="52">
        <f>D17/3</f>
        <v>2219.3333333333335</v>
      </c>
      <c r="H17" s="52">
        <f>G17/1.5</f>
        <v>1479.5555555555557</v>
      </c>
      <c r="I17" s="18">
        <f>1-(G17/(30*2*F17))</f>
        <v>5.3992611537368451E-2</v>
      </c>
      <c r="J17" s="52">
        <f>((E17/1000)*Tyngdacc)*Hävarm</f>
        <v>1.3428255000000002</v>
      </c>
      <c r="K17" s="17">
        <f>A17/1000</f>
        <v>15.6</v>
      </c>
      <c r="L17" s="52">
        <f>delta_z+((C17-ABS(B17/10))*1000/(Densitet*Tyngdacc))+(((4*(K17/3600))/(π*PumpDiam_tryck^2))^2-((4*(K17/3600))/(π*PumpDiam_sug^2))^2)/(2*Tyngdacc)</f>
        <v>2.6801323564454522</v>
      </c>
      <c r="M17" s="52">
        <f>Densitet*Tyngdacc*(K17/3600)*L17</f>
        <v>113.72734810484567</v>
      </c>
      <c r="N17" s="52">
        <f>((G17*2*π)/60)*J17</f>
        <v>312.08344680810615</v>
      </c>
      <c r="O17" s="18">
        <f>M17/N17</f>
        <v>0.36441326596464546</v>
      </c>
    </row>
    <row r="18" spans="1:20" x14ac:dyDescent="0.25">
      <c r="A18" s="11">
        <v>14000</v>
      </c>
      <c r="B18" s="11">
        <v>2.5</v>
      </c>
      <c r="C18" s="11">
        <v>30</v>
      </c>
      <c r="D18" s="11">
        <v>6665</v>
      </c>
      <c r="E18" s="11">
        <v>763</v>
      </c>
      <c r="F18" s="11">
        <v>39.1</v>
      </c>
      <c r="G18" s="52">
        <f t="shared" ref="G18:G26" si="1">D18/3</f>
        <v>2221.6666666666665</v>
      </c>
      <c r="H18" s="52">
        <f t="shared" ref="H18:H26" si="2">G18/1.5</f>
        <v>1481.1111111111111</v>
      </c>
      <c r="I18" s="18">
        <f t="shared" ref="I18:I26" si="3">1-(G18/(30*2*F18))</f>
        <v>5.2998010798522399E-2</v>
      </c>
      <c r="J18" s="52">
        <f t="shared" ref="J17:J26" si="4">((E18/1000)*Tyngdacc)*Hävarm</f>
        <v>1.341067875</v>
      </c>
      <c r="K18" s="17">
        <f t="shared" ref="K18:K26" si="5">A18/1000</f>
        <v>14</v>
      </c>
      <c r="L18" s="52">
        <f>delta_z+((C18-ABS(B18/10))*1000/(Densitet*Tyngdacc))+(((4*(K18/3600))/(π*PumpDiam_tryck^2))^2-((4*(K18/3600))/(π*PumpDiam_sug^2))^2)/(2*Tyngdacc)</f>
        <v>3.6195603366657756</v>
      </c>
      <c r="M18" s="52">
        <f>Densitet*Tyngdacc*(K18/3600)*L18</f>
        <v>137.83767163548052</v>
      </c>
      <c r="N18" s="52">
        <f>((G18*2*π)/60)*J18</f>
        <v>312.00264531994503</v>
      </c>
      <c r="O18" s="18">
        <f t="shared" ref="O18:O26" si="6">M18/N18</f>
        <v>0.44178366338571917</v>
      </c>
    </row>
    <row r="19" spans="1:20" x14ac:dyDescent="0.25">
      <c r="A19" s="11">
        <v>13000</v>
      </c>
      <c r="B19" s="11">
        <v>6.5</v>
      </c>
      <c r="C19" s="11">
        <v>35</v>
      </c>
      <c r="D19" s="11">
        <v>6573</v>
      </c>
      <c r="E19" s="11">
        <v>752</v>
      </c>
      <c r="F19" s="11">
        <v>39.1</v>
      </c>
      <c r="G19" s="52">
        <f t="shared" si="1"/>
        <v>2191</v>
      </c>
      <c r="H19" s="52">
        <f t="shared" si="2"/>
        <v>1460.6666666666667</v>
      </c>
      <c r="I19" s="18">
        <f t="shared" si="3"/>
        <v>6.6069906223358954E-2</v>
      </c>
      <c r="J19" s="52">
        <f t="shared" si="4"/>
        <v>1.3217340000000002</v>
      </c>
      <c r="K19" s="17">
        <f t="shared" si="5"/>
        <v>13</v>
      </c>
      <c r="L19" s="52">
        <f>delta_z+((C19-ABS(B19/10))*1000/(Densitet*Tyngdacc))+(((4*(K19/3600))/(π*PumpDiam_tryck^2))^2-((4*(K19/3600))/(π*PumpDiam_sug^2))^2)/(2*Tyngdacc)</f>
        <v>4.028138543801326</v>
      </c>
      <c r="M19" s="52">
        <f>Densitet*Tyngdacc*(K19/3600)*L19</f>
        <v>142.43995365991648</v>
      </c>
      <c r="N19" s="52">
        <f>((G19*2*π)/60)*J19</f>
        <v>303.25994884200253</v>
      </c>
      <c r="O19" s="18">
        <f t="shared" si="6"/>
        <v>0.46969589688260233</v>
      </c>
    </row>
    <row r="20" spans="1:20" x14ac:dyDescent="0.25">
      <c r="A20" s="11">
        <v>11800</v>
      </c>
      <c r="B20" s="11">
        <v>12</v>
      </c>
      <c r="C20" s="11">
        <v>40</v>
      </c>
      <c r="D20" s="11">
        <v>6675</v>
      </c>
      <c r="E20" s="11">
        <v>740</v>
      </c>
      <c r="F20" s="11">
        <v>39.200000000000003</v>
      </c>
      <c r="G20" s="52">
        <f t="shared" si="1"/>
        <v>2225</v>
      </c>
      <c r="H20" s="52">
        <f t="shared" si="2"/>
        <v>1483.3333333333333</v>
      </c>
      <c r="I20" s="18">
        <f t="shared" si="3"/>
        <v>5.3996598639455828E-2</v>
      </c>
      <c r="J20" s="52">
        <f t="shared" si="4"/>
        <v>1.3006425000000001</v>
      </c>
      <c r="K20" s="17">
        <f t="shared" si="5"/>
        <v>11.8</v>
      </c>
      <c r="L20" s="52">
        <f>delta_z+((C20-ABS(B20/10))*1000/(Densitet*Tyngdacc))+(((4*(K20/3600))/(π*PumpDiam_tryck^2))^2-((4*(K20/3600))/(π*PumpDiam_sug^2))^2)/(2*Tyngdacc)</f>
        <v>4.4151450476493777</v>
      </c>
      <c r="M20" s="52">
        <f>Densitet*Tyngdacc*(K20/3600)*L20</f>
        <v>141.71344482695284</v>
      </c>
      <c r="N20" s="52">
        <f>((G20*2*π)/60)*J20</f>
        <v>303.05159511854418</v>
      </c>
      <c r="O20" s="18">
        <f t="shared" si="6"/>
        <v>0.46762151102197308</v>
      </c>
    </row>
    <row r="21" spans="1:20" x14ac:dyDescent="0.25">
      <c r="A21" s="11">
        <v>9500</v>
      </c>
      <c r="B21" s="11">
        <v>20</v>
      </c>
      <c r="C21" s="11">
        <v>49</v>
      </c>
      <c r="D21" s="11">
        <v>6698</v>
      </c>
      <c r="E21" s="11">
        <v>698</v>
      </c>
      <c r="F21" s="11">
        <v>39.200000000000003</v>
      </c>
      <c r="G21" s="52">
        <f t="shared" si="1"/>
        <v>2232.6666666666665</v>
      </c>
      <c r="H21" s="52">
        <f t="shared" si="2"/>
        <v>1488.4444444444443</v>
      </c>
      <c r="I21" s="18">
        <f t="shared" si="3"/>
        <v>5.0736961451247176E-2</v>
      </c>
      <c r="J21" s="52">
        <f t="shared" si="4"/>
        <v>1.2268222500000001</v>
      </c>
      <c r="K21" s="17">
        <f t="shared" si="5"/>
        <v>9.5</v>
      </c>
      <c r="L21" s="52">
        <f>delta_z+((C21-ABS(B21/10))*1000/(Densitet*Tyngdacc))+(((4*(K21/3600))/(π*PumpDiam_tryck^2))^2-((4*(K21/3600))/(π*PumpDiam_sug^2))^2)/(2*Tyngdacc)</f>
        <v>5.1415325087880728</v>
      </c>
      <c r="M21" s="52">
        <f>Densitet*Tyngdacc*(K21/3600)*L21</f>
        <v>132.86184026017298</v>
      </c>
      <c r="N21" s="52">
        <f>((G21*2*π)/60)*J21</f>
        <v>286.83632547921815</v>
      </c>
      <c r="O21" s="18">
        <f t="shared" si="6"/>
        <v>0.46319740025326422</v>
      </c>
    </row>
    <row r="22" spans="1:20" x14ac:dyDescent="0.25">
      <c r="A22" s="11">
        <v>8100</v>
      </c>
      <c r="B22" s="11">
        <v>25</v>
      </c>
      <c r="C22" s="11">
        <v>54</v>
      </c>
      <c r="D22" s="11">
        <v>6722</v>
      </c>
      <c r="E22" s="11">
        <v>663</v>
      </c>
      <c r="F22" s="11">
        <v>39.200000000000003</v>
      </c>
      <c r="G22" s="52">
        <f t="shared" si="1"/>
        <v>2240.6666666666665</v>
      </c>
      <c r="H22" s="52">
        <f t="shared" si="2"/>
        <v>1493.7777777777776</v>
      </c>
      <c r="I22" s="18">
        <f t="shared" si="3"/>
        <v>4.7335600907029596E-2</v>
      </c>
      <c r="J22" s="52">
        <f t="shared" si="4"/>
        <v>1.1653053750000002</v>
      </c>
      <c r="K22" s="17">
        <f t="shared" si="5"/>
        <v>8.1</v>
      </c>
      <c r="L22" s="52">
        <f>delta_z+((C22-ABS(B22/10))*1000/(Densitet*Tyngdacc))+(((4*(K22/3600))/(π*PumpDiam_tryck^2))^2-((4*(K22/3600))/(π*PumpDiam_sug^2))^2)/(2*Tyngdacc)</f>
        <v>5.545245944725572</v>
      </c>
      <c r="M22" s="52">
        <f>Densitet*Tyngdacc*(K22/3600)*L22</f>
        <v>122.17712572094827</v>
      </c>
      <c r="N22" s="52">
        <f>((G22*2*π)/60)*J22</f>
        <v>273.42965912389593</v>
      </c>
      <c r="O22" s="18">
        <f t="shared" si="6"/>
        <v>0.44683201563582975</v>
      </c>
    </row>
    <row r="23" spans="1:20" x14ac:dyDescent="0.25">
      <c r="A23" s="11">
        <v>7200</v>
      </c>
      <c r="B23" s="11">
        <v>27</v>
      </c>
      <c r="C23" s="11">
        <v>56</v>
      </c>
      <c r="D23" s="11">
        <v>6734</v>
      </c>
      <c r="E23" s="11">
        <v>640</v>
      </c>
      <c r="F23" s="11">
        <v>39.200000000000003</v>
      </c>
      <c r="G23" s="52">
        <f t="shared" si="1"/>
        <v>2244.6666666666665</v>
      </c>
      <c r="H23" s="52">
        <f t="shared" si="2"/>
        <v>1496.4444444444443</v>
      </c>
      <c r="I23" s="18">
        <f t="shared" si="3"/>
        <v>4.5634920634920695E-2</v>
      </c>
      <c r="J23" s="52">
        <f t="shared" si="4"/>
        <v>1.1248800000000001</v>
      </c>
      <c r="K23" s="17">
        <f t="shared" si="5"/>
        <v>7.2</v>
      </c>
      <c r="L23" s="52">
        <f>delta_z+((C23-ABS(B23/10))*1000/(Densitet*Tyngdacc))+(((4*(K23/3600))/(π*PumpDiam_tryck^2))^2-((4*(K23/3600))/(π*PumpDiam_sug^2))^2)/(2*Tyngdacc)</f>
        <v>5.6978629738682693</v>
      </c>
      <c r="M23" s="52">
        <f>Densitet*Tyngdacc*(K23/3600)*L23</f>
        <v>111.59084581851033</v>
      </c>
      <c r="N23" s="52">
        <f>((G23*2*π)/60)*J23</f>
        <v>264.41535430268181</v>
      </c>
      <c r="O23" s="18">
        <f t="shared" si="6"/>
        <v>0.42202861521714036</v>
      </c>
    </row>
    <row r="24" spans="1:20" x14ac:dyDescent="0.25">
      <c r="A24" s="11">
        <v>6400</v>
      </c>
      <c r="B24" s="11">
        <v>30</v>
      </c>
      <c r="C24" s="11">
        <v>58</v>
      </c>
      <c r="D24" s="11">
        <v>6746</v>
      </c>
      <c r="E24" s="11">
        <v>618</v>
      </c>
      <c r="F24" s="11">
        <v>39.200000000000003</v>
      </c>
      <c r="G24" s="52">
        <f t="shared" si="1"/>
        <v>2248.6666666666665</v>
      </c>
      <c r="H24" s="52">
        <f t="shared" si="2"/>
        <v>1499.1111111111111</v>
      </c>
      <c r="I24" s="18">
        <f t="shared" si="3"/>
        <v>4.3934240362811905E-2</v>
      </c>
      <c r="J24" s="52">
        <f t="shared" si="4"/>
        <v>1.0862122500000002</v>
      </c>
      <c r="K24" s="17">
        <f t="shared" si="5"/>
        <v>6.4</v>
      </c>
      <c r="L24" s="52">
        <f>delta_z+((C24-ABS(B24/10))*1000/(Densitet*Tyngdacc))+(((4*(K24/3600))/(π*PumpDiam_tryck^2))^2-((4*(K24/3600))/(π*PumpDiam_sug^2))^2)/(2*Tyngdacc)</f>
        <v>5.8468161063589337</v>
      </c>
      <c r="M24" s="52">
        <f>Densitet*Tyngdacc*(K24/3600)*L24</f>
        <v>101.78492964368898</v>
      </c>
      <c r="N24" s="52">
        <f>((G24*2*π)/60)*J24</f>
        <v>255.78106802183905</v>
      </c>
      <c r="O24" s="18">
        <f t="shared" si="6"/>
        <v>0.3979376989504102</v>
      </c>
    </row>
    <row r="25" spans="1:20" x14ac:dyDescent="0.25">
      <c r="A25" s="11">
        <v>5500</v>
      </c>
      <c r="B25" s="11">
        <v>34</v>
      </c>
      <c r="C25" s="11">
        <v>60</v>
      </c>
      <c r="D25" s="11">
        <v>6764</v>
      </c>
      <c r="E25" s="11">
        <v>590</v>
      </c>
      <c r="F25" s="11">
        <v>39.200000000000003</v>
      </c>
      <c r="G25" s="52">
        <f t="shared" si="1"/>
        <v>2254.6666666666665</v>
      </c>
      <c r="H25" s="52">
        <f t="shared" si="2"/>
        <v>1503.1111111111111</v>
      </c>
      <c r="I25" s="18">
        <f t="shared" si="3"/>
        <v>4.1383219954648554E-2</v>
      </c>
      <c r="J25" s="52">
        <f t="shared" si="4"/>
        <v>1.03699875</v>
      </c>
      <c r="K25" s="17">
        <f t="shared" si="5"/>
        <v>5.5</v>
      </c>
      <c r="L25" s="52">
        <f>delta_z+((C25-ABS(B25/10))*1000/(Densitet*Tyngdacc))+(((4*(K25/3600))/(π*PumpDiam_tryck^2))^2-((4*(K25/3600))/(π*PumpDiam_sug^2))^2)/(2*Tyngdacc)</f>
        <v>5.9859423633953535</v>
      </c>
      <c r="M25" s="52">
        <f>Densitet*Tyngdacc*(K25/3600)*L25</f>
        <v>89.552825411279372</v>
      </c>
      <c r="N25" s="52">
        <f>((G25*2*π)/60)*J25</f>
        <v>244.84384729937869</v>
      </c>
      <c r="O25" s="18">
        <f t="shared" si="6"/>
        <v>0.36575485314025541</v>
      </c>
    </row>
    <row r="26" spans="1:20" x14ac:dyDescent="0.25">
      <c r="A26" s="11">
        <v>4800</v>
      </c>
      <c r="B26" s="11">
        <v>38</v>
      </c>
      <c r="C26" s="11">
        <v>61</v>
      </c>
      <c r="D26" s="11">
        <v>6784</v>
      </c>
      <c r="E26" s="11">
        <v>560</v>
      </c>
      <c r="F26" s="11">
        <v>39.200000000000003</v>
      </c>
      <c r="G26" s="52">
        <f t="shared" si="1"/>
        <v>2261.3333333333335</v>
      </c>
      <c r="H26" s="52">
        <f t="shared" si="2"/>
        <v>1507.5555555555557</v>
      </c>
      <c r="I26" s="18">
        <f t="shared" si="3"/>
        <v>3.8548752834467015E-2</v>
      </c>
      <c r="J26" s="52">
        <f t="shared" si="4"/>
        <v>0.98427000000000009</v>
      </c>
      <c r="K26" s="17">
        <f t="shared" si="5"/>
        <v>4.8</v>
      </c>
      <c r="L26" s="52">
        <f>delta_z+((C26-ABS(B26/10))*1000/(Densitet*Tyngdacc))+(((4*(K26/3600))/(π*PumpDiam_tryck^2))^2-((4*(K26/3600))/(π*PumpDiam_sug^2))^2)/(2*Tyngdacc)</f>
        <v>6.0308783077437287</v>
      </c>
      <c r="M26" s="52">
        <f>Densitet*Tyngdacc*(K26/3600)*L26</f>
        <v>78.741897266410461</v>
      </c>
      <c r="N26" s="52">
        <f>((G26*2*π)/60)*J26</f>
        <v>233.08131023770704</v>
      </c>
      <c r="O26" s="18">
        <f t="shared" si="6"/>
        <v>0.33783016401489185</v>
      </c>
    </row>
    <row r="27" spans="1:20" x14ac:dyDescent="0.25">
      <c r="E27" s="5"/>
      <c r="F27" s="5"/>
      <c r="G27" s="19"/>
      <c r="H27" s="19"/>
      <c r="I27" s="20"/>
      <c r="J27" s="21"/>
      <c r="K27" s="19"/>
      <c r="T27" s="22"/>
    </row>
    <row r="28" spans="1:20" ht="15.6" x14ac:dyDescent="0.3">
      <c r="A28" s="13" t="s">
        <v>93</v>
      </c>
      <c r="G28" s="23" t="s">
        <v>95</v>
      </c>
    </row>
    <row r="29" spans="1:20" x14ac:dyDescent="0.25">
      <c r="A29" s="15" t="s">
        <v>2</v>
      </c>
      <c r="B29" s="9" t="s">
        <v>0</v>
      </c>
      <c r="C29" s="9" t="s">
        <v>1</v>
      </c>
      <c r="D29" s="9" t="s">
        <v>39</v>
      </c>
      <c r="E29" s="9" t="s">
        <v>7</v>
      </c>
      <c r="F29" s="9" t="s">
        <v>33</v>
      </c>
      <c r="G29" s="9" t="s">
        <v>10</v>
      </c>
      <c r="H29" s="9" t="s">
        <v>9</v>
      </c>
      <c r="I29" s="9" t="s">
        <v>36</v>
      </c>
      <c r="J29" s="9" t="s">
        <v>34</v>
      </c>
      <c r="K29" s="9" t="s">
        <v>2</v>
      </c>
      <c r="L29" s="9" t="s">
        <v>12</v>
      </c>
      <c r="M29" s="9" t="s">
        <v>14</v>
      </c>
      <c r="N29" s="9" t="s">
        <v>15</v>
      </c>
      <c r="O29" s="3" t="s">
        <v>19</v>
      </c>
    </row>
    <row r="30" spans="1:20" ht="16.2" x14ac:dyDescent="0.25">
      <c r="A30" s="15" t="s">
        <v>5</v>
      </c>
      <c r="B30" s="9" t="s">
        <v>17</v>
      </c>
      <c r="C30" s="9" t="s">
        <v>18</v>
      </c>
      <c r="D30" s="9" t="s">
        <v>6</v>
      </c>
      <c r="E30" s="9" t="s">
        <v>8</v>
      </c>
      <c r="F30" s="9" t="s">
        <v>32</v>
      </c>
      <c r="G30" s="9" t="s">
        <v>11</v>
      </c>
      <c r="H30" s="9" t="s">
        <v>11</v>
      </c>
      <c r="I30" s="16" t="s">
        <v>37</v>
      </c>
      <c r="J30" s="9" t="s">
        <v>35</v>
      </c>
      <c r="K30" s="9" t="s">
        <v>111</v>
      </c>
      <c r="L30" s="9" t="s">
        <v>13</v>
      </c>
      <c r="M30" s="9" t="s">
        <v>16</v>
      </c>
      <c r="N30" s="9" t="s">
        <v>16</v>
      </c>
      <c r="O30" s="16" t="s">
        <v>37</v>
      </c>
    </row>
    <row r="31" spans="1:20" x14ac:dyDescent="0.25">
      <c r="A31" s="15"/>
      <c r="B31" s="9"/>
      <c r="C31" s="9"/>
      <c r="D31" s="9"/>
      <c r="E31" s="9"/>
      <c r="F31" s="9"/>
      <c r="G31" s="9"/>
      <c r="H31" s="9"/>
      <c r="J31" s="9"/>
      <c r="K31" s="9"/>
      <c r="L31" s="9"/>
      <c r="M31" s="9"/>
      <c r="N31" s="9"/>
    </row>
    <row r="32" spans="1:20" ht="15.6" x14ac:dyDescent="0.3">
      <c r="A32" s="11">
        <v>12400</v>
      </c>
      <c r="B32" s="11">
        <v>9</v>
      </c>
      <c r="C32" s="11">
        <v>15</v>
      </c>
      <c r="D32" s="11">
        <v>5342</v>
      </c>
      <c r="E32" s="11">
        <v>560</v>
      </c>
      <c r="F32" s="11">
        <v>31.3</v>
      </c>
      <c r="G32" s="52">
        <f>D32/3</f>
        <v>1780.6666666666667</v>
      </c>
      <c r="H32" s="52">
        <f>G32/1.5</f>
        <v>1187.1111111111111</v>
      </c>
      <c r="I32" s="18">
        <f>1-(G32/(30*2*F32))</f>
        <v>5.1828186013489486E-2</v>
      </c>
      <c r="J32" s="52">
        <f t="shared" ref="J32:J41" si="7">((E32/1000)*Tyngdacc)*Hävarm</f>
        <v>0.98427000000000009</v>
      </c>
      <c r="K32" s="17">
        <f>A32/1000</f>
        <v>12.4</v>
      </c>
      <c r="L32" s="52">
        <f>delta_z+((C32-ABS(B32/10))*1000/(Densitet*Tyngdacc))+(((4*(K32/3600))/(π*PumpDiam_tryck^2))^2-((4*(K32/3600))/(π*PumpDiam_sug^2))^2)/(2*Tyngdacc)</f>
        <v>1.9256652561505403</v>
      </c>
      <c r="M32" s="52">
        <f>Densitet*Tyngdacc*(K32/3600)*L32</f>
        <v>64.951106193117184</v>
      </c>
      <c r="N32" s="52">
        <f>((G32*2*π)/60)*J32</f>
        <v>183.53778881041143</v>
      </c>
      <c r="O32" s="18">
        <f>M32/N32</f>
        <v>0.35388410536104675</v>
      </c>
      <c r="P32" s="12"/>
      <c r="Q32" s="12"/>
      <c r="R32" s="12"/>
    </row>
    <row r="33" spans="1:18" ht="15.6" x14ac:dyDescent="0.3">
      <c r="A33" s="11">
        <v>11400</v>
      </c>
      <c r="B33" s="11">
        <v>13</v>
      </c>
      <c r="C33" s="11">
        <v>19</v>
      </c>
      <c r="D33" s="11">
        <v>5348</v>
      </c>
      <c r="E33" s="11">
        <v>555</v>
      </c>
      <c r="F33" s="11">
        <v>31.3</v>
      </c>
      <c r="G33" s="52">
        <f t="shared" ref="G33:G41" si="8">D33/3</f>
        <v>1782.6666666666667</v>
      </c>
      <c r="H33" s="52">
        <f t="shared" ref="H33:H41" si="9">G33/1.5</f>
        <v>1188.4444444444446</v>
      </c>
      <c r="I33" s="18">
        <f t="shared" ref="I33:I41" si="10">1-(G33/(30*2*F33))</f>
        <v>5.0763223287184855E-2</v>
      </c>
      <c r="J33" s="52">
        <f t="shared" si="7"/>
        <v>0.97548187500000005</v>
      </c>
      <c r="K33" s="17">
        <f t="shared" ref="K33:K41" si="11">A33/1000</f>
        <v>11.4</v>
      </c>
      <c r="L33" s="52">
        <f>delta_z+((C33-ABS(B33/10))*1000/(Densitet*Tyngdacc))+(((4*(K33/3600))/(π*PumpDiam_tryck^2))^2-((4*(K33/3600))/(π*PumpDiam_sug^2))^2)/(2*Tyngdacc)</f>
        <v>2.2393734102889775</v>
      </c>
      <c r="M33" s="52">
        <f>Densitet*Tyngdacc*(K33/3600)*L33</f>
        <v>69.440915947643958</v>
      </c>
      <c r="N33" s="52">
        <f>((G33*2*π)/60)*J33</f>
        <v>182.10336299932291</v>
      </c>
      <c r="O33" s="18">
        <f t="shared" ref="O33:O41" si="12">M33/N33</f>
        <v>0.38132692776191152</v>
      </c>
      <c r="P33" s="12"/>
      <c r="Q33" s="12"/>
      <c r="R33" s="12"/>
    </row>
    <row r="34" spans="1:18" ht="15.6" x14ac:dyDescent="0.3">
      <c r="A34" s="11">
        <v>10500</v>
      </c>
      <c r="B34" s="11">
        <v>16</v>
      </c>
      <c r="C34" s="11">
        <v>23</v>
      </c>
      <c r="D34" s="11">
        <v>5352</v>
      </c>
      <c r="E34" s="11">
        <v>545</v>
      </c>
      <c r="F34" s="11">
        <v>31.3</v>
      </c>
      <c r="G34" s="52">
        <f t="shared" si="8"/>
        <v>1784</v>
      </c>
      <c r="H34" s="52">
        <f t="shared" si="9"/>
        <v>1189.3333333333333</v>
      </c>
      <c r="I34" s="18">
        <f t="shared" si="10"/>
        <v>5.0053248136315176E-2</v>
      </c>
      <c r="J34" s="52">
        <f t="shared" si="7"/>
        <v>0.9579056250000002</v>
      </c>
      <c r="K34" s="17">
        <f t="shared" si="11"/>
        <v>10.5</v>
      </c>
      <c r="L34" s="52">
        <f>delta_z+((C34-ABS(B34/10))*1000/(Densitet*Tyngdacc))+(((4*(K34/3600))/(π*PumpDiam_tryck^2))^2-((4*(K34/3600))/(π*PumpDiam_sug^2))^2)/(2*Tyngdacc)</f>
        <v>2.5725607522704208</v>
      </c>
      <c r="M34" s="52">
        <f>Densitet*Tyngdacc*(K34/3600)*L34</f>
        <v>73.474901214193608</v>
      </c>
      <c r="N34" s="52">
        <f>((G34*2*π)/60)*J34</f>
        <v>178.95597018029648</v>
      </c>
      <c r="O34" s="18">
        <f t="shared" si="12"/>
        <v>0.41057530039466317</v>
      </c>
      <c r="P34" s="12"/>
      <c r="Q34" s="12"/>
      <c r="R34" s="12"/>
    </row>
    <row r="35" spans="1:18" ht="15.6" x14ac:dyDescent="0.3">
      <c r="A35" s="11">
        <v>9600</v>
      </c>
      <c r="B35" s="11">
        <v>20</v>
      </c>
      <c r="C35" s="11">
        <v>27</v>
      </c>
      <c r="D35" s="11">
        <v>5375</v>
      </c>
      <c r="E35" s="11">
        <v>533</v>
      </c>
      <c r="F35" s="11">
        <v>31.3</v>
      </c>
      <c r="G35" s="52">
        <f t="shared" si="8"/>
        <v>1791.6666666666667</v>
      </c>
      <c r="H35" s="52">
        <f t="shared" si="9"/>
        <v>1194.4444444444446</v>
      </c>
      <c r="I35" s="18">
        <f t="shared" si="10"/>
        <v>4.5970891018814353E-2</v>
      </c>
      <c r="J35" s="52">
        <f t="shared" si="7"/>
        <v>0.93681412500000005</v>
      </c>
      <c r="K35" s="17">
        <f t="shared" si="11"/>
        <v>9.6</v>
      </c>
      <c r="L35" s="52">
        <f>delta_z+((C35-ABS(B35/10))*1000/(Densitet*Tyngdacc))+(((4*(K35/3600))/(π*PumpDiam_tryck^2))^2-((4*(K35/3600))/(π*PumpDiam_sug^2))^2)/(2*Tyngdacc)</f>
        <v>2.8992066302914452</v>
      </c>
      <c r="M35" s="52">
        <f>Densitet*Tyngdacc*(K35/3600)*L35</f>
        <v>75.706727606617051</v>
      </c>
      <c r="N35" s="52">
        <f>((G35*2*π)/60)*J35</f>
        <v>175.76777782472703</v>
      </c>
      <c r="O35" s="18">
        <f t="shared" si="12"/>
        <v>0.43072017262521606</v>
      </c>
      <c r="P35" s="12"/>
      <c r="Q35" s="12"/>
      <c r="R35" s="12"/>
    </row>
    <row r="36" spans="1:18" ht="15.6" x14ac:dyDescent="0.3">
      <c r="A36" s="11">
        <v>8700</v>
      </c>
      <c r="B36" s="11">
        <v>23</v>
      </c>
      <c r="C36" s="11">
        <v>30</v>
      </c>
      <c r="D36" s="11">
        <v>5369</v>
      </c>
      <c r="E36" s="11">
        <v>525</v>
      </c>
      <c r="F36" s="11">
        <v>31.3</v>
      </c>
      <c r="G36" s="52">
        <f t="shared" si="8"/>
        <v>1789.6666666666667</v>
      </c>
      <c r="H36" s="52">
        <f t="shared" si="9"/>
        <v>1193.1111111111111</v>
      </c>
      <c r="I36" s="18">
        <f t="shared" si="10"/>
        <v>4.7035853745118872E-2</v>
      </c>
      <c r="J36" s="52">
        <f t="shared" si="7"/>
        <v>0.92275312500000017</v>
      </c>
      <c r="K36" s="17">
        <f t="shared" si="11"/>
        <v>8.6999999999999993</v>
      </c>
      <c r="L36" s="52">
        <f>delta_z+((C36-ABS(B36/10))*1000/(Densitet*Tyngdacc))+(((4*(K36/3600))/(π*PumpDiam_tryck^2))^2-((4*(K36/3600))/(π*PumpDiam_sug^2))^2)/(2*Tyngdacc)</f>
        <v>3.1376145513169842</v>
      </c>
      <c r="M36" s="52">
        <f>Densitet*Tyngdacc*(K36/3600)*L36</f>
        <v>74.251103980791768</v>
      </c>
      <c r="N36" s="52">
        <f>((G36*2*π)/60)*J36</f>
        <v>172.93635134133385</v>
      </c>
      <c r="O36" s="18">
        <f t="shared" si="12"/>
        <v>0.42935509743835371</v>
      </c>
      <c r="P36" s="12"/>
      <c r="Q36" s="12"/>
      <c r="R36" s="12"/>
    </row>
    <row r="37" spans="1:18" ht="15.6" x14ac:dyDescent="0.3">
      <c r="A37" s="11">
        <v>7900</v>
      </c>
      <c r="B37" s="11">
        <v>25</v>
      </c>
      <c r="C37" s="11">
        <v>32</v>
      </c>
      <c r="D37" s="11">
        <v>5373</v>
      </c>
      <c r="E37" s="11">
        <v>510</v>
      </c>
      <c r="F37" s="11">
        <v>31.3</v>
      </c>
      <c r="G37" s="52">
        <f t="shared" si="8"/>
        <v>1791</v>
      </c>
      <c r="H37" s="52">
        <f t="shared" si="9"/>
        <v>1194</v>
      </c>
      <c r="I37" s="18">
        <f t="shared" si="10"/>
        <v>4.6325878594249192E-2</v>
      </c>
      <c r="J37" s="52">
        <f t="shared" si="7"/>
        <v>0.89638875000000018</v>
      </c>
      <c r="K37" s="17">
        <f t="shared" si="11"/>
        <v>7.9</v>
      </c>
      <c r="L37" s="52">
        <f>delta_z+((C37-ABS(B37/10))*1000/(Densitet*Tyngdacc))+(((4*(K37/3600))/(π*PumpDiam_tryck^2))^2-((4*(K37/3600))/(π*PumpDiam_sug^2))^2)/(2*Tyngdacc)</f>
        <v>3.2913418229644917</v>
      </c>
      <c r="M37" s="52">
        <f>Densitet*Tyngdacc*(K37/3600)*L37</f>
        <v>70.726823243899133</v>
      </c>
      <c r="N37" s="52">
        <f>((G37*2*π)/60)*J37</f>
        <v>168.12047221210412</v>
      </c>
      <c r="O37" s="18">
        <f t="shared" si="12"/>
        <v>0.42069131922654113</v>
      </c>
      <c r="P37" s="12"/>
      <c r="Q37" s="12"/>
      <c r="R37" s="12"/>
    </row>
    <row r="38" spans="1:18" ht="15.6" x14ac:dyDescent="0.3">
      <c r="A38" s="11">
        <v>7000</v>
      </c>
      <c r="B38" s="11">
        <v>27</v>
      </c>
      <c r="C38" s="11">
        <v>34</v>
      </c>
      <c r="D38" s="11">
        <v>5384</v>
      </c>
      <c r="E38" s="11">
        <v>500</v>
      </c>
      <c r="F38" s="11">
        <v>31.3</v>
      </c>
      <c r="G38" s="52">
        <f t="shared" si="8"/>
        <v>1794.6666666666667</v>
      </c>
      <c r="H38" s="52">
        <f t="shared" si="9"/>
        <v>1196.4444444444446</v>
      </c>
      <c r="I38" s="18">
        <f t="shared" si="10"/>
        <v>4.4373446929357407E-2</v>
      </c>
      <c r="J38" s="52">
        <f t="shared" si="7"/>
        <v>0.87881250000000011</v>
      </c>
      <c r="K38" s="17">
        <f t="shared" si="11"/>
        <v>7</v>
      </c>
      <c r="L38" s="52">
        <f>delta_z+((C38-ABS(B38/10))*1000/(Densitet*Tyngdacc))+(((4*(K38/3600))/(π*PumpDiam_tryck^2))^2-((4*(K38/3600))/(π*PumpDiam_sug^2))^2)/(2*Tyngdacc)</f>
        <v>3.4447745404780696</v>
      </c>
      <c r="M38" s="52">
        <f>Densitet*Tyngdacc*(K38/3600)*L38</f>
        <v>65.590798025771861</v>
      </c>
      <c r="N38" s="52">
        <f>((G38*2*π)/60)*J38</f>
        <v>165.16143214072699</v>
      </c>
      <c r="O38" s="18">
        <f t="shared" si="12"/>
        <v>0.39713144391896982</v>
      </c>
      <c r="P38" s="12"/>
      <c r="Q38" s="12"/>
      <c r="R38" s="12"/>
    </row>
    <row r="39" spans="1:18" x14ac:dyDescent="0.25">
      <c r="A39" s="11">
        <v>6200</v>
      </c>
      <c r="B39" s="11">
        <v>29</v>
      </c>
      <c r="C39" s="11">
        <v>36</v>
      </c>
      <c r="D39" s="11">
        <v>5394</v>
      </c>
      <c r="E39" s="11">
        <v>483</v>
      </c>
      <c r="F39" s="11">
        <v>31.3</v>
      </c>
      <c r="G39" s="52">
        <f t="shared" si="8"/>
        <v>1798</v>
      </c>
      <c r="H39" s="52">
        <f t="shared" si="9"/>
        <v>1198.6666666666667</v>
      </c>
      <c r="I39" s="18">
        <f t="shared" si="10"/>
        <v>4.2598509052183209E-2</v>
      </c>
      <c r="J39" s="52">
        <f t="shared" si="7"/>
        <v>0.84893287499999992</v>
      </c>
      <c r="K39" s="17">
        <f t="shared" si="11"/>
        <v>6.2</v>
      </c>
      <c r="L39" s="52">
        <f>delta_z+((C39-ABS(B39/10))*1000/(Densitet*Tyngdacc))+(((4*(K39/3600))/(π*PumpDiam_tryck^2))^2-((4*(K39/3600))/(π*PumpDiam_sug^2))^2)/(2*Tyngdacc)</f>
        <v>3.6046647909277905</v>
      </c>
      <c r="M39" s="52">
        <f>Densitet*Tyngdacc*(K39/3600)*L39</f>
        <v>60.791190181768123</v>
      </c>
      <c r="N39" s="52">
        <f>((G39*2*π)/60)*J39</f>
        <v>159.84227692388566</v>
      </c>
      <c r="O39" s="18">
        <f t="shared" si="12"/>
        <v>0.38031984623639914</v>
      </c>
    </row>
    <row r="40" spans="1:18" x14ac:dyDescent="0.25">
      <c r="A40" s="11">
        <v>5400</v>
      </c>
      <c r="B40" s="11">
        <v>31</v>
      </c>
      <c r="C40" s="11">
        <v>37</v>
      </c>
      <c r="D40" s="11">
        <v>5404</v>
      </c>
      <c r="E40" s="11">
        <v>461</v>
      </c>
      <c r="F40" s="11">
        <v>31.4</v>
      </c>
      <c r="G40" s="52">
        <f t="shared" si="8"/>
        <v>1801.3333333333333</v>
      </c>
      <c r="H40" s="52">
        <f t="shared" si="9"/>
        <v>1200.8888888888889</v>
      </c>
      <c r="I40" s="18">
        <f t="shared" si="10"/>
        <v>4.3878273177636262E-2</v>
      </c>
      <c r="J40" s="52">
        <f t="shared" si="7"/>
        <v>0.81026512500000014</v>
      </c>
      <c r="K40" s="17">
        <f t="shared" si="11"/>
        <v>5.4</v>
      </c>
      <c r="L40" s="52">
        <f>delta_z+((C40-ABS(B40/10))*1000/(Densitet*Tyngdacc))+(((4*(K40/3600))/(π*PumpDiam_tryck^2))^2-((4*(K40/3600))/(π*PumpDiam_sug^2))^2)/(2*Tyngdacc)</f>
        <v>3.6653346504023654</v>
      </c>
      <c r="M40" s="52">
        <f>Densitet*Tyngdacc*(K40/3600)*L40</f>
        <v>53.8383156617856</v>
      </c>
      <c r="N40" s="52">
        <f>((G40*2*π)/60)*J40</f>
        <v>152.84451220356362</v>
      </c>
      <c r="O40" s="18">
        <f t="shared" si="12"/>
        <v>0.35224238597511348</v>
      </c>
    </row>
    <row r="41" spans="1:18" x14ac:dyDescent="0.25">
      <c r="A41" s="11">
        <v>4400</v>
      </c>
      <c r="B41" s="11">
        <v>35</v>
      </c>
      <c r="C41" s="11">
        <v>39</v>
      </c>
      <c r="D41" s="11">
        <v>5418</v>
      </c>
      <c r="E41" s="11">
        <v>440</v>
      </c>
      <c r="F41" s="11">
        <v>31.4</v>
      </c>
      <c r="G41" s="52">
        <f t="shared" si="8"/>
        <v>1806</v>
      </c>
      <c r="H41" s="52">
        <f t="shared" si="9"/>
        <v>1204</v>
      </c>
      <c r="I41" s="18">
        <f t="shared" si="10"/>
        <v>4.1401273885350309E-2</v>
      </c>
      <c r="J41" s="52">
        <f t="shared" si="7"/>
        <v>0.77335500000000013</v>
      </c>
      <c r="K41" s="17">
        <f t="shared" si="11"/>
        <v>4.4000000000000004</v>
      </c>
      <c r="L41" s="52">
        <f>delta_z+((C41-ABS(B41/10))*1000/(Densitet*Tyngdacc))+(((4*(K41/3600))/(π*PumpDiam_tryck^2))^2-((4*(K41/3600))/(π*PumpDiam_sug^2))^2)/(2*Tyngdacc)</f>
        <v>3.8065227863762909</v>
      </c>
      <c r="M41" s="52">
        <f>Densitet*Tyngdacc*(K41/3600)*L41</f>
        <v>45.558055833876168</v>
      </c>
      <c r="N41" s="52">
        <f>((G41*2*π)/60)*J41</f>
        <v>146.25989647433946</v>
      </c>
      <c r="O41" s="18">
        <f t="shared" si="12"/>
        <v>0.31148699631323129</v>
      </c>
    </row>
    <row r="42" spans="1:18" x14ac:dyDescent="0.25">
      <c r="E42" s="5"/>
      <c r="F42" s="5"/>
      <c r="G42" s="24"/>
      <c r="H42" s="25"/>
      <c r="I42" s="26"/>
      <c r="J42" s="26"/>
      <c r="K42" s="26"/>
      <c r="L42" s="27"/>
      <c r="M42" s="28"/>
    </row>
    <row r="43" spans="1:18" x14ac:dyDescent="0.25">
      <c r="E43" s="5"/>
      <c r="F43" s="5"/>
      <c r="G43" s="24"/>
      <c r="H43" s="25"/>
      <c r="I43" s="26"/>
      <c r="J43" s="26"/>
      <c r="K43" s="26"/>
      <c r="L43" s="27"/>
      <c r="M43" s="28"/>
    </row>
    <row r="44" spans="1:18" ht="15.6" x14ac:dyDescent="0.3">
      <c r="A44" s="13" t="s">
        <v>70</v>
      </c>
      <c r="E44" s="5"/>
      <c r="F44" s="5"/>
      <c r="G44" s="24"/>
      <c r="H44" s="13" t="s">
        <v>74</v>
      </c>
      <c r="K44" s="5" t="s">
        <v>75</v>
      </c>
      <c r="L44" s="2">
        <v>1200</v>
      </c>
      <c r="M44" s="3" t="s">
        <v>11</v>
      </c>
    </row>
    <row r="45" spans="1:18" ht="16.2" x14ac:dyDescent="0.35">
      <c r="A45" s="9" t="s">
        <v>2</v>
      </c>
      <c r="B45" s="9" t="s">
        <v>12</v>
      </c>
      <c r="C45" s="9" t="s">
        <v>14</v>
      </c>
      <c r="D45" s="9" t="s">
        <v>15</v>
      </c>
      <c r="E45" s="3" t="s">
        <v>19</v>
      </c>
      <c r="F45" s="5"/>
      <c r="G45" s="26"/>
      <c r="K45" s="5" t="s">
        <v>112</v>
      </c>
      <c r="L45" s="29"/>
      <c r="M45" s="3" t="s">
        <v>76</v>
      </c>
    </row>
    <row r="46" spans="1:18" ht="16.2" x14ac:dyDescent="0.25">
      <c r="A46" s="9" t="s">
        <v>111</v>
      </c>
      <c r="B46" s="9" t="s">
        <v>13</v>
      </c>
      <c r="C46" s="9" t="s">
        <v>16</v>
      </c>
      <c r="D46" s="9" t="s">
        <v>16</v>
      </c>
      <c r="E46" s="16" t="s">
        <v>37</v>
      </c>
      <c r="F46" s="5"/>
    </row>
    <row r="47" spans="1:18" ht="16.2" x14ac:dyDescent="0.35">
      <c r="A47" s="9"/>
      <c r="B47" s="9"/>
      <c r="C47" s="9"/>
      <c r="D47" s="9"/>
      <c r="F47" s="5"/>
      <c r="G47" s="26"/>
      <c r="H47" s="9" t="s">
        <v>2</v>
      </c>
      <c r="I47" s="9" t="s">
        <v>113</v>
      </c>
      <c r="J47" s="9" t="s">
        <v>114</v>
      </c>
      <c r="K47" s="9" t="s">
        <v>115</v>
      </c>
      <c r="L47" s="9" t="s">
        <v>12</v>
      </c>
    </row>
    <row r="48" spans="1:18" ht="16.2" x14ac:dyDescent="0.25">
      <c r="A48" s="17"/>
      <c r="B48" s="17"/>
      <c r="C48" s="17"/>
      <c r="D48" s="17"/>
      <c r="E48" s="18"/>
      <c r="F48" s="5"/>
      <c r="G48" s="26"/>
      <c r="H48" s="9" t="s">
        <v>111</v>
      </c>
      <c r="I48" s="9" t="s">
        <v>76</v>
      </c>
      <c r="J48" s="9" t="s">
        <v>76</v>
      </c>
      <c r="K48" s="9" t="s">
        <v>77</v>
      </c>
      <c r="L48" s="9" t="s">
        <v>13</v>
      </c>
    </row>
    <row r="49" spans="1:14" x14ac:dyDescent="0.25">
      <c r="A49" s="17"/>
      <c r="B49" s="17"/>
      <c r="C49" s="17"/>
      <c r="D49" s="17"/>
      <c r="E49" s="18"/>
      <c r="F49" s="5"/>
      <c r="G49" s="19"/>
      <c r="H49" s="9"/>
      <c r="I49" s="9"/>
      <c r="J49" s="9"/>
      <c r="K49" s="9"/>
    </row>
    <row r="50" spans="1:14" x14ac:dyDescent="0.25">
      <c r="A50" s="17"/>
      <c r="B50" s="17"/>
      <c r="C50" s="17"/>
      <c r="D50" s="17"/>
      <c r="E50" s="18"/>
      <c r="F50" s="5"/>
      <c r="G50" s="19"/>
      <c r="H50" s="11">
        <v>0</v>
      </c>
      <c r="I50" s="17"/>
      <c r="J50" s="17"/>
      <c r="K50" s="17"/>
      <c r="L50" s="30"/>
    </row>
    <row r="51" spans="1:14" x14ac:dyDescent="0.25">
      <c r="A51" s="17"/>
      <c r="B51" s="17"/>
      <c r="C51" s="17"/>
      <c r="D51" s="17"/>
      <c r="E51" s="18"/>
      <c r="F51" s="5"/>
      <c r="H51" s="11">
        <v>2</v>
      </c>
      <c r="I51" s="17"/>
      <c r="J51" s="17"/>
      <c r="K51" s="17"/>
      <c r="L51" s="30"/>
    </row>
    <row r="52" spans="1:14" x14ac:dyDescent="0.25">
      <c r="A52" s="17"/>
      <c r="B52" s="17"/>
      <c r="C52" s="17"/>
      <c r="D52" s="17"/>
      <c r="E52" s="18"/>
      <c r="F52" s="5"/>
      <c r="G52" s="19"/>
      <c r="H52" s="11">
        <v>4</v>
      </c>
      <c r="I52" s="17"/>
      <c r="J52" s="17"/>
      <c r="K52" s="17"/>
      <c r="L52" s="30"/>
    </row>
    <row r="53" spans="1:14" x14ac:dyDescent="0.25">
      <c r="A53" s="17"/>
      <c r="B53" s="17"/>
      <c r="C53" s="17"/>
      <c r="D53" s="17"/>
      <c r="E53" s="18"/>
      <c r="F53" s="5"/>
      <c r="G53" s="19"/>
      <c r="H53" s="11">
        <v>6</v>
      </c>
      <c r="I53" s="17"/>
      <c r="J53" s="17"/>
      <c r="K53" s="17"/>
      <c r="L53" s="30"/>
    </row>
    <row r="54" spans="1:14" x14ac:dyDescent="0.25">
      <c r="A54" s="17"/>
      <c r="B54" s="17"/>
      <c r="C54" s="17"/>
      <c r="D54" s="17"/>
      <c r="E54" s="18"/>
      <c r="F54" s="5"/>
      <c r="G54" s="19"/>
      <c r="H54" s="11">
        <v>8</v>
      </c>
      <c r="I54" s="17"/>
      <c r="J54" s="17"/>
      <c r="K54" s="17"/>
      <c r="L54" s="30"/>
    </row>
    <row r="55" spans="1:14" x14ac:dyDescent="0.25">
      <c r="A55" s="17"/>
      <c r="B55" s="17"/>
      <c r="C55" s="17"/>
      <c r="D55" s="17"/>
      <c r="E55" s="18"/>
      <c r="F55" s="5"/>
      <c r="G55" s="19"/>
      <c r="H55" s="11">
        <v>10</v>
      </c>
      <c r="I55" s="17"/>
      <c r="J55" s="17"/>
      <c r="K55" s="17"/>
      <c r="L55" s="30"/>
    </row>
    <row r="56" spans="1:14" x14ac:dyDescent="0.25">
      <c r="A56" s="17"/>
      <c r="B56" s="17"/>
      <c r="C56" s="17"/>
      <c r="D56" s="17"/>
      <c r="E56" s="18"/>
      <c r="F56" s="5"/>
      <c r="H56" s="11">
        <v>12</v>
      </c>
      <c r="I56" s="17"/>
      <c r="J56" s="17"/>
      <c r="K56" s="17"/>
      <c r="L56" s="30"/>
      <c r="M56" s="19"/>
    </row>
    <row r="57" spans="1:14" x14ac:dyDescent="0.25">
      <c r="A57" s="17"/>
      <c r="B57" s="17"/>
      <c r="C57" s="17"/>
      <c r="D57" s="17"/>
      <c r="E57" s="18"/>
      <c r="F57" s="5"/>
      <c r="G57" s="19"/>
      <c r="H57" s="11">
        <v>14</v>
      </c>
      <c r="I57" s="17"/>
      <c r="J57" s="17"/>
      <c r="K57" s="17"/>
      <c r="L57" s="30"/>
      <c r="M57" s="19"/>
    </row>
    <row r="58" spans="1:14" x14ac:dyDescent="0.25">
      <c r="E58" s="5"/>
      <c r="F58" s="5"/>
      <c r="G58" s="19"/>
    </row>
    <row r="59" spans="1:14" ht="15.6" x14ac:dyDescent="0.3">
      <c r="A59" s="13" t="s">
        <v>71</v>
      </c>
      <c r="E59" s="5"/>
      <c r="F59" s="5"/>
      <c r="G59" s="24"/>
      <c r="H59" s="13" t="s">
        <v>100</v>
      </c>
      <c r="I59" s="22"/>
    </row>
    <row r="60" spans="1:14" x14ac:dyDescent="0.25">
      <c r="A60" s="9" t="s">
        <v>2</v>
      </c>
      <c r="B60" s="9" t="s">
        <v>12</v>
      </c>
      <c r="C60" s="9" t="s">
        <v>14</v>
      </c>
      <c r="D60" s="9" t="s">
        <v>15</v>
      </c>
      <c r="E60" s="3" t="s">
        <v>19</v>
      </c>
      <c r="F60" s="5"/>
      <c r="H60" s="9" t="s">
        <v>2</v>
      </c>
      <c r="I60" s="9" t="s">
        <v>12</v>
      </c>
      <c r="J60" s="9" t="s">
        <v>14</v>
      </c>
      <c r="K60" s="9" t="s">
        <v>15</v>
      </c>
      <c r="L60" s="3" t="s">
        <v>19</v>
      </c>
      <c r="M60" s="9"/>
      <c r="N60" s="9"/>
    </row>
    <row r="61" spans="1:14" ht="16.2" x14ac:dyDescent="0.25">
      <c r="A61" s="9" t="s">
        <v>111</v>
      </c>
      <c r="B61" s="9" t="s">
        <v>13</v>
      </c>
      <c r="C61" s="9" t="s">
        <v>16</v>
      </c>
      <c r="D61" s="9" t="s">
        <v>16</v>
      </c>
      <c r="E61" s="16" t="s">
        <v>37</v>
      </c>
      <c r="F61" s="5"/>
      <c r="G61" s="24"/>
      <c r="H61" s="9" t="s">
        <v>111</v>
      </c>
      <c r="I61" s="9" t="s">
        <v>13</v>
      </c>
      <c r="J61" s="9" t="s">
        <v>16</v>
      </c>
      <c r="K61" s="9" t="s">
        <v>16</v>
      </c>
      <c r="L61" s="9" t="s">
        <v>37</v>
      </c>
      <c r="M61" s="9"/>
      <c r="N61" s="9"/>
    </row>
    <row r="62" spans="1:14" x14ac:dyDescent="0.25">
      <c r="A62" s="9"/>
      <c r="B62" s="9"/>
      <c r="C62" s="9"/>
      <c r="D62" s="9"/>
      <c r="F62" s="5"/>
      <c r="G62" s="24"/>
      <c r="H62" s="9"/>
      <c r="I62" s="9"/>
      <c r="J62" s="9"/>
      <c r="K62" s="9"/>
      <c r="L62" s="9"/>
      <c r="M62" s="9"/>
      <c r="N62" s="9"/>
    </row>
    <row r="63" spans="1:14" x14ac:dyDescent="0.25">
      <c r="A63" s="17"/>
      <c r="B63" s="17"/>
      <c r="C63" s="17"/>
      <c r="D63" s="17"/>
      <c r="E63" s="18"/>
      <c r="F63" s="5"/>
      <c r="G63" s="24"/>
      <c r="H63" s="17"/>
      <c r="I63" s="17"/>
      <c r="J63" s="17"/>
      <c r="K63" s="17"/>
      <c r="L63" s="18"/>
      <c r="M63" s="31"/>
      <c r="N63" s="31"/>
    </row>
    <row r="64" spans="1:14" x14ac:dyDescent="0.25">
      <c r="A64" s="17"/>
      <c r="B64" s="17"/>
      <c r="C64" s="17"/>
      <c r="D64" s="17"/>
      <c r="E64" s="18"/>
      <c r="F64" s="5"/>
      <c r="G64" s="24"/>
      <c r="H64" s="17"/>
      <c r="I64" s="17"/>
      <c r="J64" s="17"/>
      <c r="K64" s="17"/>
      <c r="L64" s="18"/>
      <c r="M64" s="31"/>
      <c r="N64" s="31"/>
    </row>
    <row r="65" spans="1:15" x14ac:dyDescent="0.25">
      <c r="A65" s="17"/>
      <c r="B65" s="17"/>
      <c r="C65" s="17"/>
      <c r="D65" s="17"/>
      <c r="E65" s="18"/>
      <c r="F65" s="5"/>
      <c r="H65" s="17"/>
      <c r="I65" s="17"/>
      <c r="J65" s="17"/>
      <c r="K65" s="17"/>
      <c r="L65" s="18"/>
      <c r="M65" s="31"/>
      <c r="N65" s="31"/>
    </row>
    <row r="66" spans="1:15" x14ac:dyDescent="0.25">
      <c r="A66" s="17"/>
      <c r="B66" s="17"/>
      <c r="C66" s="17"/>
      <c r="D66" s="17"/>
      <c r="E66" s="18"/>
      <c r="F66" s="5"/>
      <c r="G66" s="24"/>
      <c r="H66" s="17"/>
      <c r="I66" s="17"/>
      <c r="J66" s="17"/>
      <c r="K66" s="17"/>
      <c r="L66" s="18"/>
      <c r="M66" s="31"/>
      <c r="N66" s="31"/>
    </row>
    <row r="67" spans="1:15" x14ac:dyDescent="0.25">
      <c r="A67" s="17"/>
      <c r="B67" s="17"/>
      <c r="C67" s="17"/>
      <c r="D67" s="17"/>
      <c r="E67" s="18"/>
      <c r="F67" s="5"/>
      <c r="G67" s="24"/>
      <c r="H67" s="17"/>
      <c r="I67" s="17"/>
      <c r="J67" s="17"/>
      <c r="K67" s="17"/>
      <c r="L67" s="18"/>
      <c r="M67" s="31"/>
      <c r="N67" s="31"/>
    </row>
    <row r="68" spans="1:15" x14ac:dyDescent="0.25">
      <c r="A68" s="17"/>
      <c r="B68" s="17"/>
      <c r="C68" s="17"/>
      <c r="D68" s="17"/>
      <c r="E68" s="18"/>
      <c r="F68" s="5"/>
      <c r="G68" s="24"/>
      <c r="H68" s="17"/>
      <c r="I68" s="17"/>
      <c r="J68" s="17"/>
      <c r="K68" s="17"/>
      <c r="L68" s="18"/>
      <c r="M68" s="31"/>
      <c r="N68" s="31"/>
    </row>
    <row r="69" spans="1:15" x14ac:dyDescent="0.25">
      <c r="A69" s="17"/>
      <c r="B69" s="17"/>
      <c r="C69" s="17"/>
      <c r="D69" s="17"/>
      <c r="E69" s="18"/>
      <c r="F69" s="5"/>
      <c r="H69" s="17"/>
      <c r="I69" s="17"/>
      <c r="J69" s="17"/>
      <c r="K69" s="17"/>
      <c r="L69" s="18"/>
      <c r="M69" s="31"/>
      <c r="N69" s="31"/>
    </row>
    <row r="70" spans="1:15" x14ac:dyDescent="0.25">
      <c r="A70" s="17"/>
      <c r="B70" s="17"/>
      <c r="C70" s="17"/>
      <c r="D70" s="17"/>
      <c r="E70" s="18"/>
      <c r="F70" s="5"/>
      <c r="G70" s="24"/>
      <c r="H70" s="17"/>
      <c r="I70" s="17"/>
      <c r="J70" s="17"/>
      <c r="K70" s="17"/>
      <c r="L70" s="18"/>
      <c r="M70" s="31"/>
      <c r="N70" s="31"/>
    </row>
    <row r="71" spans="1:15" x14ac:dyDescent="0.25">
      <c r="A71" s="17"/>
      <c r="B71" s="17"/>
      <c r="C71" s="17"/>
      <c r="D71" s="17"/>
      <c r="E71" s="18"/>
      <c r="F71" s="5"/>
      <c r="G71" s="24"/>
      <c r="H71" s="17"/>
      <c r="I71" s="17"/>
      <c r="J71" s="17"/>
      <c r="K71" s="17"/>
      <c r="L71" s="18"/>
      <c r="M71" s="31"/>
      <c r="N71" s="31"/>
    </row>
    <row r="72" spans="1:15" x14ac:dyDescent="0.25">
      <c r="A72" s="17"/>
      <c r="B72" s="17"/>
      <c r="C72" s="17"/>
      <c r="D72" s="17"/>
      <c r="E72" s="18"/>
      <c r="F72" s="5"/>
      <c r="G72" s="24"/>
      <c r="H72" s="17"/>
      <c r="I72" s="17"/>
      <c r="J72" s="17"/>
      <c r="K72" s="17"/>
      <c r="L72" s="18"/>
      <c r="M72" s="31"/>
      <c r="N72" s="31"/>
      <c r="O72" s="32"/>
    </row>
    <row r="73" spans="1:15" x14ac:dyDescent="0.25">
      <c r="E73" s="5"/>
      <c r="F73" s="5"/>
      <c r="G73" s="24"/>
      <c r="H73" s="25"/>
      <c r="I73" s="26"/>
      <c r="O73" s="5"/>
    </row>
    <row r="74" spans="1:15" x14ac:dyDescent="0.25">
      <c r="E74" s="5"/>
      <c r="F74" s="5"/>
      <c r="G74" s="19"/>
      <c r="H74" s="19"/>
      <c r="I74" s="19"/>
      <c r="O74" s="5"/>
    </row>
    <row r="75" spans="1:15" x14ac:dyDescent="0.25">
      <c r="O75" s="5"/>
    </row>
    <row r="76" spans="1:15" ht="15.6" x14ac:dyDescent="0.3">
      <c r="A76" s="13" t="s">
        <v>69</v>
      </c>
      <c r="O76" s="5"/>
    </row>
    <row r="77" spans="1:15" x14ac:dyDescent="0.25">
      <c r="A77" s="5" t="s">
        <v>20</v>
      </c>
      <c r="B77" s="33"/>
      <c r="C77" s="3" t="s">
        <v>13</v>
      </c>
      <c r="D77" s="5" t="s">
        <v>22</v>
      </c>
      <c r="E77" s="33"/>
      <c r="F77" s="3" t="s">
        <v>13</v>
      </c>
      <c r="G77" s="5" t="s">
        <v>3</v>
      </c>
      <c r="H77" s="33"/>
      <c r="I77" s="3" t="s">
        <v>13</v>
      </c>
      <c r="O77" s="5"/>
    </row>
    <row r="78" spans="1:15" x14ac:dyDescent="0.25">
      <c r="A78" s="5" t="s">
        <v>21</v>
      </c>
      <c r="B78" s="33"/>
      <c r="C78" s="3" t="s">
        <v>13</v>
      </c>
      <c r="D78" s="5" t="s">
        <v>23</v>
      </c>
      <c r="E78" s="33"/>
      <c r="F78" s="3" t="s">
        <v>13</v>
      </c>
      <c r="G78" s="5" t="s">
        <v>116</v>
      </c>
      <c r="H78" s="7"/>
      <c r="I78" s="34" t="s">
        <v>30</v>
      </c>
      <c r="O78" s="5"/>
    </row>
    <row r="79" spans="1:15" x14ac:dyDescent="0.25">
      <c r="A79" s="5" t="s">
        <v>99</v>
      </c>
      <c r="B79" s="33"/>
      <c r="C79" s="3" t="s">
        <v>13</v>
      </c>
      <c r="D79" s="5" t="s">
        <v>31</v>
      </c>
      <c r="E79" s="33">
        <v>1.005E-3</v>
      </c>
      <c r="F79" s="35" t="s">
        <v>41</v>
      </c>
      <c r="G79" s="5" t="s">
        <v>78</v>
      </c>
      <c r="H79" s="7"/>
      <c r="I79" s="36" t="s">
        <v>30</v>
      </c>
      <c r="O79" s="5"/>
    </row>
    <row r="80" spans="1:15" x14ac:dyDescent="0.25">
      <c r="I80" s="4" t="s">
        <v>72</v>
      </c>
      <c r="O80" s="5"/>
    </row>
    <row r="81" spans="1:15" x14ac:dyDescent="0.25">
      <c r="A81" s="9" t="s">
        <v>2</v>
      </c>
      <c r="B81" s="9" t="s">
        <v>24</v>
      </c>
      <c r="C81" s="9" t="s">
        <v>25</v>
      </c>
      <c r="D81" s="9" t="s">
        <v>26</v>
      </c>
      <c r="E81" s="9" t="s">
        <v>27</v>
      </c>
      <c r="F81" s="9" t="s">
        <v>28</v>
      </c>
      <c r="G81" s="9" t="s">
        <v>29</v>
      </c>
      <c r="H81" s="9" t="s">
        <v>38</v>
      </c>
      <c r="I81" s="9" t="s">
        <v>54</v>
      </c>
      <c r="K81" s="5"/>
      <c r="O81" s="5"/>
    </row>
    <row r="82" spans="1:15" ht="16.2" x14ac:dyDescent="0.25">
      <c r="A82" s="9" t="s">
        <v>111</v>
      </c>
      <c r="B82" s="16" t="s">
        <v>30</v>
      </c>
      <c r="C82" s="16" t="s">
        <v>30</v>
      </c>
      <c r="D82" s="16" t="s">
        <v>30</v>
      </c>
      <c r="E82" s="16" t="s">
        <v>30</v>
      </c>
      <c r="F82" s="9" t="s">
        <v>13</v>
      </c>
      <c r="G82" s="9" t="s">
        <v>13</v>
      </c>
      <c r="H82" s="9" t="s">
        <v>13</v>
      </c>
      <c r="I82" s="9" t="s">
        <v>13</v>
      </c>
      <c r="K82" s="5"/>
      <c r="O82" s="5"/>
    </row>
    <row r="83" spans="1:15" x14ac:dyDescent="0.25">
      <c r="A83" s="9"/>
      <c r="B83" s="9"/>
      <c r="C83" s="9"/>
      <c r="D83" s="9"/>
      <c r="E83" s="9"/>
      <c r="F83" s="9"/>
      <c r="G83" s="9"/>
      <c r="H83" s="9"/>
      <c r="I83" s="9"/>
      <c r="O83" s="5"/>
    </row>
    <row r="84" spans="1:15" x14ac:dyDescent="0.25">
      <c r="A84" s="11">
        <v>0.01</v>
      </c>
      <c r="B84" s="37" t="e">
        <f t="shared" ref="B84:B85" si="13">4*Densitet*A84/3600/PI()/RörDiam_sug/Dynamisk_viskositet</f>
        <v>#DIV/0!</v>
      </c>
      <c r="C84" s="37" t="e">
        <f t="shared" ref="C84:C85" si="14">4*Densitet*A84/3600/PI()/RörDiam_tryck/Dynamisk_viskositet</f>
        <v>#DIV/0!</v>
      </c>
      <c r="D84" s="17"/>
      <c r="E84" s="17"/>
      <c r="F84" s="17"/>
      <c r="G84" s="17"/>
      <c r="H84" s="17"/>
      <c r="I84" s="17"/>
      <c r="K84" s="38"/>
      <c r="O84" s="5"/>
    </row>
    <row r="85" spans="1:15" x14ac:dyDescent="0.25">
      <c r="A85" s="11">
        <v>1</v>
      </c>
      <c r="B85" s="37" t="e">
        <f t="shared" si="13"/>
        <v>#DIV/0!</v>
      </c>
      <c r="C85" s="37" t="e">
        <f t="shared" si="14"/>
        <v>#DIV/0!</v>
      </c>
      <c r="D85" s="17"/>
      <c r="E85" s="17"/>
      <c r="F85" s="17"/>
      <c r="G85" s="17"/>
      <c r="H85" s="17"/>
      <c r="I85" s="17"/>
      <c r="K85" s="38"/>
      <c r="O85" s="5"/>
    </row>
    <row r="86" spans="1:15" x14ac:dyDescent="0.25">
      <c r="A86" s="11">
        <v>2</v>
      </c>
      <c r="B86" s="37"/>
      <c r="C86" s="37"/>
      <c r="D86" s="17"/>
      <c r="E86" s="17"/>
      <c r="F86" s="17"/>
      <c r="G86" s="17"/>
      <c r="H86" s="17"/>
      <c r="I86" s="17"/>
      <c r="K86" s="38"/>
      <c r="O86" s="5"/>
    </row>
    <row r="87" spans="1:15" x14ac:dyDescent="0.25">
      <c r="A87" s="11">
        <v>3</v>
      </c>
      <c r="B87" s="37"/>
      <c r="C87" s="37"/>
      <c r="D87" s="17"/>
      <c r="E87" s="17"/>
      <c r="F87" s="17"/>
      <c r="G87" s="17"/>
      <c r="H87" s="17"/>
      <c r="I87" s="17"/>
      <c r="K87" s="38"/>
      <c r="O87" s="5"/>
    </row>
    <row r="88" spans="1:15" x14ac:dyDescent="0.25">
      <c r="A88" s="11">
        <v>4</v>
      </c>
      <c r="B88" s="37"/>
      <c r="C88" s="37"/>
      <c r="D88" s="17"/>
      <c r="E88" s="17"/>
      <c r="F88" s="17"/>
      <c r="G88" s="17"/>
      <c r="H88" s="17"/>
      <c r="I88" s="17"/>
      <c r="K88" s="38"/>
    </row>
    <row r="89" spans="1:15" x14ac:dyDescent="0.25">
      <c r="A89" s="11">
        <v>5</v>
      </c>
      <c r="B89" s="37"/>
      <c r="C89" s="37"/>
      <c r="D89" s="17"/>
      <c r="E89" s="17"/>
      <c r="F89" s="17"/>
      <c r="G89" s="17"/>
      <c r="H89" s="17"/>
      <c r="I89" s="17"/>
      <c r="K89" s="38"/>
    </row>
    <row r="90" spans="1:15" x14ac:dyDescent="0.25">
      <c r="A90" s="11">
        <v>6</v>
      </c>
      <c r="B90" s="37"/>
      <c r="C90" s="37"/>
      <c r="D90" s="17"/>
      <c r="E90" s="17"/>
      <c r="F90" s="17"/>
      <c r="G90" s="17"/>
      <c r="H90" s="17"/>
      <c r="I90" s="17"/>
      <c r="K90" s="38"/>
    </row>
    <row r="91" spans="1:15" x14ac:dyDescent="0.25">
      <c r="A91" s="11">
        <v>7</v>
      </c>
      <c r="B91" s="37"/>
      <c r="C91" s="37"/>
      <c r="D91" s="17"/>
      <c r="E91" s="17"/>
      <c r="F91" s="17"/>
      <c r="G91" s="17"/>
      <c r="H91" s="17"/>
      <c r="I91" s="17"/>
      <c r="K91" s="38"/>
    </row>
    <row r="92" spans="1:15" x14ac:dyDescent="0.25">
      <c r="A92" s="11">
        <v>8</v>
      </c>
      <c r="B92" s="37"/>
      <c r="C92" s="37"/>
      <c r="D92" s="17"/>
      <c r="E92" s="17"/>
      <c r="F92" s="17"/>
      <c r="G92" s="17"/>
      <c r="H92" s="17"/>
      <c r="I92" s="17"/>
      <c r="K92" s="38"/>
    </row>
    <row r="93" spans="1:15" x14ac:dyDescent="0.25">
      <c r="A93" s="11">
        <v>9</v>
      </c>
      <c r="B93" s="37"/>
      <c r="C93" s="37"/>
      <c r="D93" s="17"/>
      <c r="E93" s="17"/>
      <c r="F93" s="17"/>
      <c r="G93" s="17"/>
      <c r="H93" s="17"/>
      <c r="I93" s="17"/>
      <c r="K93" s="38"/>
    </row>
    <row r="94" spans="1:15" x14ac:dyDescent="0.25">
      <c r="A94" s="39">
        <v>10</v>
      </c>
      <c r="B94" s="37"/>
      <c r="C94" s="37"/>
      <c r="D94" s="17"/>
      <c r="E94" s="17"/>
      <c r="F94" s="17"/>
      <c r="G94" s="17"/>
      <c r="H94" s="40"/>
      <c r="I94" s="17"/>
      <c r="K94" s="38"/>
    </row>
    <row r="95" spans="1:15" x14ac:dyDescent="0.25">
      <c r="A95" s="11">
        <v>11</v>
      </c>
      <c r="B95" s="37"/>
      <c r="C95" s="37"/>
      <c r="D95" s="17"/>
      <c r="E95" s="17"/>
      <c r="F95" s="17"/>
      <c r="G95" s="17"/>
      <c r="H95" s="17"/>
      <c r="I95" s="17"/>
      <c r="K95" s="38"/>
    </row>
    <row r="96" spans="1:15" x14ac:dyDescent="0.25">
      <c r="A96" s="11">
        <v>12</v>
      </c>
      <c r="B96" s="37"/>
      <c r="C96" s="37"/>
      <c r="D96" s="17"/>
      <c r="E96" s="17"/>
      <c r="F96" s="17"/>
      <c r="G96" s="17"/>
      <c r="H96" s="17"/>
      <c r="I96" s="17"/>
      <c r="K96" s="38"/>
    </row>
    <row r="97" spans="1:11" x14ac:dyDescent="0.25">
      <c r="A97" s="11">
        <v>13</v>
      </c>
      <c r="B97" s="37"/>
      <c r="C97" s="37"/>
      <c r="D97" s="17"/>
      <c r="E97" s="17"/>
      <c r="F97" s="17"/>
      <c r="G97" s="17"/>
      <c r="H97" s="17"/>
      <c r="I97" s="17"/>
      <c r="K97" s="38"/>
    </row>
    <row r="98" spans="1:11" x14ac:dyDescent="0.25">
      <c r="A98" s="11">
        <v>14</v>
      </c>
      <c r="B98" s="37"/>
      <c r="C98" s="37"/>
      <c r="D98" s="17"/>
      <c r="E98" s="17"/>
      <c r="F98" s="17"/>
      <c r="G98" s="17"/>
      <c r="H98" s="17"/>
      <c r="I98" s="17"/>
      <c r="K98" s="38"/>
    </row>
    <row r="105" spans="1:11" x14ac:dyDescent="0.25">
      <c r="A105" s="41" t="s">
        <v>42</v>
      </c>
    </row>
    <row r="106" spans="1:11" x14ac:dyDescent="0.25">
      <c r="A106" s="42" t="s">
        <v>117</v>
      </c>
    </row>
    <row r="107" spans="1:11" x14ac:dyDescent="0.25">
      <c r="A107" s="43" t="s">
        <v>90</v>
      </c>
    </row>
    <row r="126" spans="1:1" x14ac:dyDescent="0.25">
      <c r="A126" s="41" t="s">
        <v>58</v>
      </c>
    </row>
    <row r="127" spans="1:1" x14ac:dyDescent="0.25">
      <c r="A127" s="42" t="s">
        <v>43</v>
      </c>
    </row>
    <row r="128" spans="1:1" x14ac:dyDescent="0.25">
      <c r="A128" s="43" t="s">
        <v>90</v>
      </c>
    </row>
    <row r="144" s="3" customFormat="1" ht="69.75" customHeight="1" x14ac:dyDescent="0.25"/>
    <row r="145" spans="1:3" x14ac:dyDescent="0.25">
      <c r="A145" s="44" t="s">
        <v>57</v>
      </c>
    </row>
    <row r="146" spans="1:3" x14ac:dyDescent="0.25">
      <c r="A146" s="45" t="s">
        <v>44</v>
      </c>
    </row>
    <row r="147" spans="1:3" x14ac:dyDescent="0.25">
      <c r="A147" s="43"/>
    </row>
    <row r="150" spans="1:3" x14ac:dyDescent="0.25">
      <c r="B150" s="9" t="s">
        <v>2</v>
      </c>
      <c r="C150" s="9" t="s">
        <v>92</v>
      </c>
    </row>
    <row r="151" spans="1:3" ht="16.2" x14ac:dyDescent="0.25">
      <c r="B151" s="9" t="s">
        <v>111</v>
      </c>
      <c r="C151" s="9" t="s">
        <v>13</v>
      </c>
    </row>
    <row r="152" spans="1:3" x14ac:dyDescent="0.25">
      <c r="B152" s="9"/>
      <c r="C152" s="9"/>
    </row>
    <row r="153" spans="1:3" x14ac:dyDescent="0.25">
      <c r="A153" s="3">
        <v>1200</v>
      </c>
      <c r="B153" s="46"/>
      <c r="C153" s="47"/>
    </row>
    <row r="154" spans="1:3" x14ac:dyDescent="0.25">
      <c r="A154" s="3">
        <v>1500</v>
      </c>
      <c r="B154" s="46"/>
      <c r="C154" s="47"/>
    </row>
    <row r="159" spans="1:3" ht="51.75" customHeight="1" x14ac:dyDescent="0.25"/>
    <row r="160" spans="1:3" x14ac:dyDescent="0.25">
      <c r="A160" s="44" t="s">
        <v>56</v>
      </c>
    </row>
    <row r="161" spans="1:5" x14ac:dyDescent="0.25">
      <c r="A161" s="42" t="s">
        <v>45</v>
      </c>
    </row>
    <row r="163" spans="1:5" x14ac:dyDescent="0.25">
      <c r="B163" s="9" t="s">
        <v>2</v>
      </c>
      <c r="C163" s="9" t="s">
        <v>107</v>
      </c>
    </row>
    <row r="164" spans="1:5" ht="16.2" x14ac:dyDescent="0.25">
      <c r="B164" s="9" t="s">
        <v>111</v>
      </c>
      <c r="C164" s="9" t="s">
        <v>13</v>
      </c>
    </row>
    <row r="166" spans="1:5" x14ac:dyDescent="0.25">
      <c r="A166" s="5" t="s">
        <v>106</v>
      </c>
      <c r="B166" s="46"/>
      <c r="C166" s="47"/>
      <c r="D166" s="48"/>
      <c r="E166" s="9"/>
    </row>
    <row r="168" spans="1:5" x14ac:dyDescent="0.25">
      <c r="A168" s="9" t="s">
        <v>101</v>
      </c>
      <c r="B168" s="9" t="s">
        <v>102</v>
      </c>
      <c r="C168" s="9" t="s">
        <v>103</v>
      </c>
      <c r="D168" s="9" t="s">
        <v>104</v>
      </c>
      <c r="E168" s="9" t="s">
        <v>105</v>
      </c>
    </row>
    <row r="169" spans="1:5" ht="16.2" x14ac:dyDescent="0.25">
      <c r="A169" s="9" t="s">
        <v>11</v>
      </c>
      <c r="B169" s="9" t="s">
        <v>111</v>
      </c>
      <c r="C169" s="9" t="s">
        <v>13</v>
      </c>
      <c r="D169" s="9" t="s">
        <v>11</v>
      </c>
      <c r="E169" s="9" t="s">
        <v>11</v>
      </c>
    </row>
    <row r="170" spans="1:5" x14ac:dyDescent="0.25">
      <c r="A170" s="9"/>
    </row>
    <row r="171" spans="1:5" x14ac:dyDescent="0.25">
      <c r="A171" s="9">
        <v>1200</v>
      </c>
      <c r="B171" s="46"/>
      <c r="C171" s="47"/>
      <c r="D171" s="17"/>
      <c r="E171" s="17"/>
    </row>
    <row r="172" spans="1:5" x14ac:dyDescent="0.25">
      <c r="A172" s="9">
        <v>1500</v>
      </c>
      <c r="B172" s="46"/>
      <c r="C172" s="47"/>
      <c r="D172" s="17"/>
      <c r="E172" s="17"/>
    </row>
    <row r="173" spans="1:5" x14ac:dyDescent="0.25">
      <c r="B173" s="9"/>
      <c r="C173" s="9"/>
      <c r="D173" s="9"/>
      <c r="E173" s="9"/>
    </row>
    <row r="175" spans="1:5" ht="59.25" customHeight="1" x14ac:dyDescent="0.25"/>
    <row r="176" spans="1:5" x14ac:dyDescent="0.25">
      <c r="A176" s="44" t="s">
        <v>55</v>
      </c>
    </row>
    <row r="177" spans="1:14" x14ac:dyDescent="0.25">
      <c r="A177" s="42" t="s">
        <v>46</v>
      </c>
    </row>
    <row r="178" spans="1:14" x14ac:dyDescent="0.25">
      <c r="A178" s="43" t="s">
        <v>90</v>
      </c>
    </row>
    <row r="179" spans="1:14" x14ac:dyDescent="0.25">
      <c r="C179" s="9" t="s">
        <v>82</v>
      </c>
      <c r="D179" s="9" t="s">
        <v>82</v>
      </c>
      <c r="E179" s="9" t="s">
        <v>82</v>
      </c>
      <c r="F179" s="9" t="s">
        <v>82</v>
      </c>
      <c r="G179" s="9" t="s">
        <v>82</v>
      </c>
      <c r="H179" s="9"/>
      <c r="I179" s="9" t="s">
        <v>51</v>
      </c>
      <c r="J179" s="9" t="s">
        <v>52</v>
      </c>
      <c r="L179" s="5" t="s">
        <v>81</v>
      </c>
      <c r="M179" s="33">
        <v>7000</v>
      </c>
      <c r="N179" s="3" t="s">
        <v>40</v>
      </c>
    </row>
    <row r="180" spans="1:14" x14ac:dyDescent="0.25">
      <c r="C180" s="9" t="s">
        <v>85</v>
      </c>
      <c r="D180" s="9" t="s">
        <v>86</v>
      </c>
      <c r="E180" s="9" t="s">
        <v>87</v>
      </c>
      <c r="F180" s="9" t="s">
        <v>88</v>
      </c>
      <c r="G180" s="9" t="s">
        <v>89</v>
      </c>
      <c r="H180" s="9" t="s">
        <v>15</v>
      </c>
      <c r="I180" s="9" t="s">
        <v>83</v>
      </c>
      <c r="J180" s="9" t="s">
        <v>84</v>
      </c>
      <c r="L180" s="5" t="s">
        <v>80</v>
      </c>
      <c r="M180" s="49">
        <v>0.8</v>
      </c>
    </row>
    <row r="181" spans="1:14" ht="16.2" x14ac:dyDescent="0.25">
      <c r="C181" s="9" t="s">
        <v>13</v>
      </c>
      <c r="D181" s="9" t="s">
        <v>111</v>
      </c>
      <c r="E181" s="9" t="s">
        <v>111</v>
      </c>
      <c r="F181" s="16" t="s">
        <v>30</v>
      </c>
      <c r="G181" s="9" t="s">
        <v>16</v>
      </c>
      <c r="H181" s="9" t="s">
        <v>16</v>
      </c>
      <c r="I181" s="9" t="s">
        <v>16</v>
      </c>
      <c r="J181" s="9" t="s">
        <v>4</v>
      </c>
      <c r="L181" s="5" t="s">
        <v>98</v>
      </c>
      <c r="M181" s="49">
        <v>0.95</v>
      </c>
    </row>
    <row r="182" spans="1:14" x14ac:dyDescent="0.25">
      <c r="C182" s="9"/>
      <c r="D182" s="9"/>
      <c r="E182" s="9"/>
      <c r="F182" s="9"/>
      <c r="G182" s="9"/>
      <c r="H182" s="9"/>
      <c r="I182" s="9"/>
      <c r="J182" s="9"/>
    </row>
    <row r="183" spans="1:14" x14ac:dyDescent="0.25">
      <c r="A183" s="3" t="s">
        <v>47</v>
      </c>
      <c r="C183" s="50"/>
      <c r="D183" s="50"/>
      <c r="E183" s="50"/>
      <c r="F183" s="51"/>
      <c r="G183" s="17"/>
      <c r="H183" s="17"/>
      <c r="I183" s="17"/>
      <c r="J183" s="17"/>
    </row>
    <row r="184" spans="1:14" x14ac:dyDescent="0.25">
      <c r="A184" s="3" t="s">
        <v>48</v>
      </c>
      <c r="C184" s="50"/>
      <c r="D184" s="50"/>
      <c r="E184" s="50"/>
      <c r="F184" s="51"/>
      <c r="G184" s="17"/>
      <c r="H184" s="17"/>
      <c r="I184" s="17"/>
      <c r="J184" s="17"/>
    </row>
    <row r="185" spans="1:14" x14ac:dyDescent="0.25">
      <c r="A185" s="3" t="s">
        <v>49</v>
      </c>
      <c r="C185" s="50"/>
      <c r="D185" s="50"/>
      <c r="E185" s="50"/>
      <c r="F185" s="51"/>
      <c r="G185" s="17"/>
      <c r="H185" s="17"/>
      <c r="I185" s="17"/>
      <c r="J185" s="17"/>
    </row>
    <row r="186" spans="1:14" x14ac:dyDescent="0.25">
      <c r="A186" s="3" t="s">
        <v>50</v>
      </c>
      <c r="C186" s="50"/>
      <c r="D186" s="50"/>
      <c r="E186" s="50"/>
      <c r="F186" s="51"/>
      <c r="G186" s="17"/>
      <c r="H186" s="17"/>
      <c r="I186" s="17"/>
      <c r="J186" s="17"/>
    </row>
    <row r="187" spans="1:14" x14ac:dyDescent="0.25">
      <c r="A187" s="3" t="s">
        <v>53</v>
      </c>
      <c r="C187" s="50"/>
      <c r="D187" s="50"/>
      <c r="E187" s="50"/>
      <c r="F187" s="51"/>
      <c r="G187" s="17"/>
      <c r="H187" s="17"/>
      <c r="I187" s="17"/>
      <c r="J187" s="17"/>
    </row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da48a9ac-7937-4134-8b13-3620bf967764}" enabled="1" method="Privileged" siteId="{5a4ba6f9-f531-4f32-9467-398f19e69de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24</vt:i4>
      </vt:variant>
    </vt:vector>
  </HeadingPairs>
  <TitlesOfParts>
    <vt:vector size="25" baseType="lpstr">
      <vt:lpstr>Sheet1</vt:lpstr>
      <vt:lpstr>delta_z</vt:lpstr>
      <vt:lpstr>Densitet</vt:lpstr>
      <vt:lpstr>Dynamisk_viskositet</vt:lpstr>
      <vt:lpstr>Engångs_sug</vt:lpstr>
      <vt:lpstr>Engångs_tryck</vt:lpstr>
      <vt:lpstr>Euler_u2</vt:lpstr>
      <vt:lpstr>H_stat</vt:lpstr>
      <vt:lpstr>Hpv</vt:lpstr>
      <vt:lpstr>Hävarm</vt:lpstr>
      <vt:lpstr>PumpDiam_sug</vt:lpstr>
      <vt:lpstr>PumpDiam_tryck</vt:lpstr>
      <vt:lpstr>PumphjulsDiam</vt:lpstr>
      <vt:lpstr>PumphjulsÖppning</vt:lpstr>
      <vt:lpstr>RörDiam_sug</vt:lpstr>
      <vt:lpstr>RörDiam_tryck</vt:lpstr>
      <vt:lpstr>RörLängd_sug</vt:lpstr>
      <vt:lpstr>RörLängd_tryck</vt:lpstr>
      <vt:lpstr>Skovelvinkel</vt:lpstr>
      <vt:lpstr>Tyngdacc</vt:lpstr>
      <vt:lpstr>Verkningsgrad_elmotor</vt:lpstr>
      <vt:lpstr>Verkningsgrad_frekvensomriktare</vt:lpstr>
      <vt:lpstr>Ytråhet</vt:lpstr>
      <vt:lpstr>Årlig_drifttid</vt:lpstr>
      <vt:lpstr>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2026-05-12T08:48:30Z</dcterms:modified>
</cp:coreProperties>
</file>