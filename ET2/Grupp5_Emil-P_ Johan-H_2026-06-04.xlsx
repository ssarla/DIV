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124226"/>
  <xr:revisionPtr revIDLastSave="0" documentId="8_{8D762681-C016-4776-BA3D-8C242A651896}" xr6:coauthVersionLast="47" xr6:coauthVersionMax="47" xr10:uidLastSave="{00000000-0000-0000-0000-000000000000}"/>
  <bookViews>
    <workbookView xWindow="-105" yWindow="0" windowWidth="34605" windowHeight="21705" xr2:uid="{00000000-000D-0000-FFFF-FFFF00000000}"/>
  </bookViews>
  <sheets>
    <sheet name="Sheet1" sheetId="1" r:id="rId1"/>
  </sheets>
  <definedNames>
    <definedName name="delta_z">Sheet1!$H$2</definedName>
    <definedName name="Densitet">Sheet1!$B$3</definedName>
    <definedName name="Dynamisk_viskositet">Sheet1!$E$79</definedName>
    <definedName name="Engångs_sug">Sheet1!$H$78</definedName>
    <definedName name="Engångs_tryck">Sheet1!$H$79</definedName>
    <definedName name="Euler_rpm">Sheet1!$L$44</definedName>
    <definedName name="Euler_u2">Sheet1!$L$45</definedName>
    <definedName name="H_stat">Sheet1!$H$77</definedName>
    <definedName name="Hpv">Sheet1!$H$94</definedName>
    <definedName name="Hävarm">Sheet1!$G$2</definedName>
    <definedName name="PumpDiam_sug">Sheet1!$I$2</definedName>
    <definedName name="PumpDiam_tryck">Sheet1!$J$2</definedName>
    <definedName name="PumphjulsDiam">Sheet1!$B$7</definedName>
    <definedName name="PumphjulsÖppning">Sheet1!$B$8</definedName>
    <definedName name="Qpv">Sheet1!$A$94</definedName>
    <definedName name="RörDiam_sug">Sheet1!$B$77</definedName>
    <definedName name="RörDiam_tryck">Sheet1!$B$78</definedName>
    <definedName name="RörLängd_sug">Sheet1!$E$77</definedName>
    <definedName name="RörLängd_tryck">Sheet1!$E$78</definedName>
    <definedName name="Skovelvinkel">Sheet1!$B$9</definedName>
    <definedName name="Tyngdacc">Sheet1!$B$4</definedName>
    <definedName name="Verkningsgrad_elmotor">Sheet1!$M$180</definedName>
    <definedName name="Verkningsgrad_frekvensomriktare">Sheet1!$M$181</definedName>
    <definedName name="Ytråhet">Sheet1!$B$79</definedName>
    <definedName name="Årlig_drifttid">Sheet1!$M$179</definedName>
    <definedName name="π">Sheet1!$B$10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83" i="1" l="1"/>
  <c r="J184" i="1"/>
  <c r="J185" i="1"/>
  <c r="J187" i="1"/>
  <c r="I184" i="1"/>
  <c r="I183" i="1"/>
  <c r="I187" i="1"/>
  <c r="H183" i="1"/>
  <c r="H184" i="1"/>
  <c r="H185" i="1"/>
  <c r="H186" i="1"/>
  <c r="H187" i="1"/>
  <c r="I185" i="1"/>
  <c r="G186" i="1"/>
  <c r="G185" i="1"/>
  <c r="G184" i="1"/>
  <c r="G183" i="1"/>
  <c r="G187" i="1"/>
  <c r="D184" i="1"/>
  <c r="D185" i="1"/>
  <c r="D183" i="1"/>
  <c r="D171" i="1"/>
  <c r="B166" i="1"/>
  <c r="D172" i="1" s="1"/>
  <c r="I34" i="1"/>
  <c r="I36" i="1"/>
  <c r="I38" i="1"/>
  <c r="I39" i="1"/>
  <c r="I32" i="1"/>
  <c r="I19" i="1"/>
  <c r="I21" i="1"/>
  <c r="I22" i="1"/>
  <c r="I25" i="1"/>
  <c r="I17" i="1"/>
  <c r="C87" i="1"/>
  <c r="E87" i="1" s="1"/>
  <c r="G87" i="1" s="1"/>
  <c r="C90" i="1"/>
  <c r="E90" i="1" s="1"/>
  <c r="G90" i="1" s="1"/>
  <c r="C95" i="1"/>
  <c r="E95" i="1" s="1"/>
  <c r="G95" i="1" s="1"/>
  <c r="C98" i="1"/>
  <c r="E98" i="1" s="1"/>
  <c r="G98" i="1" s="1"/>
  <c r="B88" i="1"/>
  <c r="D88" i="1" s="1"/>
  <c r="F88" i="1" s="1"/>
  <c r="B91" i="1"/>
  <c r="D91" i="1" s="1"/>
  <c r="F91" i="1" s="1"/>
  <c r="B96" i="1"/>
  <c r="D96" i="1" s="1"/>
  <c r="F96" i="1" s="1"/>
  <c r="B84" i="1"/>
  <c r="D84" i="1" s="1"/>
  <c r="F84" i="1" s="1"/>
  <c r="H79" i="1"/>
  <c r="H78" i="1"/>
  <c r="I52" i="1"/>
  <c r="K41" i="1"/>
  <c r="G41" i="1"/>
  <c r="I41" i="1" s="1"/>
  <c r="K40" i="1"/>
  <c r="G40" i="1"/>
  <c r="I40" i="1" s="1"/>
  <c r="K39" i="1"/>
  <c r="G39" i="1"/>
  <c r="K38" i="1"/>
  <c r="G38" i="1"/>
  <c r="K37" i="1"/>
  <c r="G37" i="1"/>
  <c r="I37" i="1" s="1"/>
  <c r="K36" i="1"/>
  <c r="G36" i="1"/>
  <c r="K35" i="1"/>
  <c r="G35" i="1"/>
  <c r="I35" i="1" s="1"/>
  <c r="K34" i="1"/>
  <c r="G34" i="1"/>
  <c r="K33" i="1"/>
  <c r="G33" i="1"/>
  <c r="I33" i="1" s="1"/>
  <c r="K32" i="1"/>
  <c r="G32" i="1"/>
  <c r="K26" i="1"/>
  <c r="G26" i="1"/>
  <c r="I26" i="1" s="1"/>
  <c r="K25" i="1"/>
  <c r="G25" i="1"/>
  <c r="K24" i="1"/>
  <c r="G24" i="1"/>
  <c r="I24" i="1" s="1"/>
  <c r="K23" i="1"/>
  <c r="G23" i="1"/>
  <c r="I23" i="1" s="1"/>
  <c r="K22" i="1"/>
  <c r="G22" i="1"/>
  <c r="K21" i="1"/>
  <c r="G21" i="1"/>
  <c r="K20" i="1"/>
  <c r="G20" i="1"/>
  <c r="I20" i="1" s="1"/>
  <c r="K19" i="1"/>
  <c r="G19" i="1"/>
  <c r="K18" i="1"/>
  <c r="G18" i="1"/>
  <c r="I18" i="1" s="1"/>
  <c r="K17" i="1"/>
  <c r="G17" i="1"/>
  <c r="B10" i="1"/>
  <c r="C88" i="1" s="1"/>
  <c r="E88" i="1" s="1"/>
  <c r="G88" i="1" s="1"/>
  <c r="J2" i="1"/>
  <c r="I2" i="1"/>
  <c r="H2" i="1"/>
  <c r="G2" i="1"/>
  <c r="B95" i="1" l="1"/>
  <c r="D95" i="1" s="1"/>
  <c r="F95" i="1" s="1"/>
  <c r="H95" i="1" s="1"/>
  <c r="B87" i="1"/>
  <c r="D87" i="1" s="1"/>
  <c r="F87" i="1" s="1"/>
  <c r="C94" i="1"/>
  <c r="E94" i="1" s="1"/>
  <c r="G94" i="1" s="1"/>
  <c r="C86" i="1"/>
  <c r="E86" i="1" s="1"/>
  <c r="G86" i="1" s="1"/>
  <c r="L45" i="1"/>
  <c r="J54" i="1" s="1"/>
  <c r="K54" i="1" s="1"/>
  <c r="L54" i="1" s="1"/>
  <c r="B94" i="1"/>
  <c r="D94" i="1" s="1"/>
  <c r="F94" i="1" s="1"/>
  <c r="B86" i="1"/>
  <c r="D86" i="1" s="1"/>
  <c r="F86" i="1" s="1"/>
  <c r="C93" i="1"/>
  <c r="E93" i="1" s="1"/>
  <c r="G93" i="1" s="1"/>
  <c r="C85" i="1"/>
  <c r="E85" i="1" s="1"/>
  <c r="G85" i="1" s="1"/>
  <c r="H85" i="1" s="1"/>
  <c r="I50" i="1"/>
  <c r="B93" i="1"/>
  <c r="D93" i="1" s="1"/>
  <c r="F93" i="1" s="1"/>
  <c r="B85" i="1"/>
  <c r="D85" i="1" s="1"/>
  <c r="F85" i="1" s="1"/>
  <c r="C92" i="1"/>
  <c r="E92" i="1" s="1"/>
  <c r="G92" i="1" s="1"/>
  <c r="H92" i="1" s="1"/>
  <c r="I51" i="1"/>
  <c r="B92" i="1"/>
  <c r="D92" i="1" s="1"/>
  <c r="F92" i="1" s="1"/>
  <c r="C84" i="1"/>
  <c r="C91" i="1"/>
  <c r="E91" i="1" s="1"/>
  <c r="G91" i="1" s="1"/>
  <c r="H91" i="1" s="1"/>
  <c r="I53" i="1"/>
  <c r="B98" i="1"/>
  <c r="D98" i="1" s="1"/>
  <c r="F98" i="1" s="1"/>
  <c r="B90" i="1"/>
  <c r="D90" i="1" s="1"/>
  <c r="F90" i="1" s="1"/>
  <c r="C97" i="1"/>
  <c r="E97" i="1" s="1"/>
  <c r="G97" i="1" s="1"/>
  <c r="H97" i="1" s="1"/>
  <c r="C89" i="1"/>
  <c r="E89" i="1" s="1"/>
  <c r="G89" i="1" s="1"/>
  <c r="B97" i="1"/>
  <c r="D97" i="1" s="1"/>
  <c r="F97" i="1" s="1"/>
  <c r="B89" i="1"/>
  <c r="D89" i="1" s="1"/>
  <c r="F89" i="1" s="1"/>
  <c r="C96" i="1"/>
  <c r="E96" i="1" s="1"/>
  <c r="G96" i="1" s="1"/>
  <c r="H96" i="1" s="1"/>
  <c r="I186" i="1"/>
  <c r="J186" i="1" s="1"/>
  <c r="H87" i="1"/>
  <c r="H90" i="1"/>
  <c r="H86" i="1"/>
  <c r="H89" i="1"/>
  <c r="H88" i="1"/>
  <c r="H98" i="1"/>
  <c r="H93" i="1"/>
  <c r="H94" i="1"/>
  <c r="I54" i="1"/>
  <c r="I57" i="1"/>
  <c r="I56" i="1"/>
  <c r="I55" i="1"/>
  <c r="H40" i="1"/>
  <c r="A71" i="1" s="1"/>
  <c r="J52" i="1"/>
  <c r="K52" i="1" s="1"/>
  <c r="L52" i="1" s="1"/>
  <c r="E84" i="1"/>
  <c r="G84" i="1" s="1"/>
  <c r="H84" i="1" s="1"/>
  <c r="H41" i="1"/>
  <c r="H71" i="1"/>
  <c r="H39" i="1"/>
  <c r="H38" i="1"/>
  <c r="H37" i="1"/>
  <c r="H36" i="1"/>
  <c r="H35" i="1"/>
  <c r="H34" i="1"/>
  <c r="H33" i="1"/>
  <c r="H32" i="1"/>
  <c r="H26" i="1"/>
  <c r="A57" i="1" s="1"/>
  <c r="H25" i="1"/>
  <c r="A56" i="1" s="1"/>
  <c r="H24" i="1"/>
  <c r="A55" i="1" s="1"/>
  <c r="H23" i="1"/>
  <c r="A54" i="1" s="1"/>
  <c r="H22" i="1"/>
  <c r="A53" i="1" s="1"/>
  <c r="H21" i="1"/>
  <c r="A52" i="1" s="1"/>
  <c r="H20" i="1"/>
  <c r="A51" i="1" s="1"/>
  <c r="H19" i="1"/>
  <c r="A50" i="1" s="1"/>
  <c r="H18" i="1"/>
  <c r="A49" i="1" s="1"/>
  <c r="H17" i="1"/>
  <c r="A48" i="1" s="1"/>
  <c r="L40" i="1"/>
  <c r="L39" i="1"/>
  <c r="L41" i="1"/>
  <c r="L24" i="1"/>
  <c r="B55" i="1" s="1"/>
  <c r="L38" i="1"/>
  <c r="L37" i="1"/>
  <c r="L36" i="1"/>
  <c r="L23" i="1"/>
  <c r="L34" i="1"/>
  <c r="L35" i="1"/>
  <c r="L33" i="1"/>
  <c r="L22" i="1"/>
  <c r="B53" i="1" s="1"/>
  <c r="L32" i="1"/>
  <c r="L21" i="1"/>
  <c r="B52" i="1" s="1"/>
  <c r="L26" i="1"/>
  <c r="B57" i="1" s="1"/>
  <c r="L25" i="1"/>
  <c r="B56" i="1" s="1"/>
  <c r="L20" i="1"/>
  <c r="B51" i="1" s="1"/>
  <c r="L19" i="1"/>
  <c r="B50" i="1" s="1"/>
  <c r="L18" i="1"/>
  <c r="B49" i="1" s="1"/>
  <c r="L17" i="1"/>
  <c r="B48" i="1" s="1"/>
  <c r="J33" i="1"/>
  <c r="N33" i="1" s="1"/>
  <c r="J23" i="1"/>
  <c r="N23" i="1" s="1"/>
  <c r="D54" i="1" s="1"/>
  <c r="J36" i="1"/>
  <c r="N36" i="1" s="1"/>
  <c r="J41" i="1"/>
  <c r="N41" i="1" s="1"/>
  <c r="J37" i="1"/>
  <c r="N37" i="1" s="1"/>
  <c r="J18" i="1"/>
  <c r="N18" i="1" s="1"/>
  <c r="D49" i="1" s="1"/>
  <c r="J22" i="1"/>
  <c r="N22" i="1" s="1"/>
  <c r="D53" i="1" s="1"/>
  <c r="J35" i="1"/>
  <c r="N35" i="1" s="1"/>
  <c r="J24" i="1"/>
  <c r="N24" i="1" s="1"/>
  <c r="D55" i="1" s="1"/>
  <c r="J25" i="1"/>
  <c r="N25" i="1" s="1"/>
  <c r="D56" i="1" s="1"/>
  <c r="J21" i="1"/>
  <c r="N21" i="1" s="1"/>
  <c r="D52" i="1" s="1"/>
  <c r="J32" i="1"/>
  <c r="N32" i="1" s="1"/>
  <c r="J38" i="1"/>
  <c r="N38" i="1" s="1"/>
  <c r="J39" i="1"/>
  <c r="N39" i="1" s="1"/>
  <c r="J20" i="1"/>
  <c r="N20" i="1" s="1"/>
  <c r="D51" i="1" s="1"/>
  <c r="J34" i="1"/>
  <c r="N34" i="1" s="1"/>
  <c r="J19" i="1"/>
  <c r="N19" i="1" s="1"/>
  <c r="J26" i="1"/>
  <c r="N26" i="1" s="1"/>
  <c r="D57" i="1" s="1"/>
  <c r="J40" i="1"/>
  <c r="N40" i="1" s="1"/>
  <c r="J17" i="1"/>
  <c r="N17" i="1" s="1"/>
  <c r="D48" i="1" s="1"/>
  <c r="J50" i="1"/>
  <c r="K50" i="1" s="1"/>
  <c r="L50" i="1" s="1"/>
  <c r="J51" i="1" l="1"/>
  <c r="K51" i="1" s="1"/>
  <c r="L51" i="1" s="1"/>
  <c r="J53" i="1"/>
  <c r="K53" i="1" s="1"/>
  <c r="L53" i="1" s="1"/>
  <c r="B54" i="1"/>
  <c r="J55" i="1"/>
  <c r="K55" i="1" s="1"/>
  <c r="L55" i="1" s="1"/>
  <c r="D50" i="1"/>
  <c r="J56" i="1"/>
  <c r="K56" i="1" s="1"/>
  <c r="L56" i="1" s="1"/>
  <c r="J57" i="1"/>
  <c r="K57" i="1" s="1"/>
  <c r="L57" i="1" s="1"/>
  <c r="D66" i="1"/>
  <c r="K66" i="1"/>
  <c r="B64" i="1"/>
  <c r="I64" i="1"/>
  <c r="B72" i="1"/>
  <c r="I72" i="1"/>
  <c r="K70" i="1"/>
  <c r="D70" i="1"/>
  <c r="B66" i="1"/>
  <c r="I66" i="1"/>
  <c r="I70" i="1"/>
  <c r="B70" i="1"/>
  <c r="K69" i="1"/>
  <c r="D69" i="1"/>
  <c r="K68" i="1"/>
  <c r="D68" i="1"/>
  <c r="B65" i="1"/>
  <c r="I65" i="1"/>
  <c r="D72" i="1"/>
  <c r="K72" i="1"/>
  <c r="D71" i="1"/>
  <c r="K71" i="1"/>
  <c r="I67" i="1"/>
  <c r="B67" i="1"/>
  <c r="I68" i="1"/>
  <c r="B68" i="1"/>
  <c r="I86" i="1"/>
  <c r="I94" i="1"/>
  <c r="C166" i="1"/>
  <c r="I87" i="1"/>
  <c r="I95" i="1"/>
  <c r="I93" i="1"/>
  <c r="I88" i="1"/>
  <c r="I96" i="1"/>
  <c r="I89" i="1"/>
  <c r="I97" i="1"/>
  <c r="I85" i="1"/>
  <c r="I90" i="1"/>
  <c r="I98" i="1"/>
  <c r="I91" i="1"/>
  <c r="I84" i="1"/>
  <c r="I92" i="1"/>
  <c r="B71" i="1"/>
  <c r="I71" i="1"/>
  <c r="D63" i="1"/>
  <c r="K63" i="1"/>
  <c r="K67" i="1"/>
  <c r="D67" i="1"/>
  <c r="D64" i="1"/>
  <c r="K64" i="1"/>
  <c r="B63" i="1"/>
  <c r="I63" i="1"/>
  <c r="I69" i="1"/>
  <c r="B69" i="1"/>
  <c r="D65" i="1"/>
  <c r="K65" i="1"/>
  <c r="A72" i="1"/>
  <c r="H72" i="1"/>
  <c r="A70" i="1"/>
  <c r="H70" i="1"/>
  <c r="A69" i="1"/>
  <c r="H69" i="1"/>
  <c r="A68" i="1"/>
  <c r="H68" i="1"/>
  <c r="A67" i="1"/>
  <c r="H67" i="1"/>
  <c r="A66" i="1"/>
  <c r="H66" i="1"/>
  <c r="A65" i="1"/>
  <c r="H65" i="1"/>
  <c r="A64" i="1"/>
  <c r="H64" i="1"/>
  <c r="A63" i="1"/>
  <c r="H63" i="1"/>
  <c r="M40" i="1"/>
  <c r="M39" i="1"/>
  <c r="M41" i="1"/>
  <c r="M38" i="1"/>
  <c r="M37" i="1"/>
  <c r="M36" i="1"/>
  <c r="M34" i="1"/>
  <c r="M35" i="1"/>
  <c r="M33" i="1"/>
  <c r="M32" i="1"/>
  <c r="M26" i="1"/>
  <c r="C57" i="1" s="1"/>
  <c r="M25" i="1"/>
  <c r="C56" i="1" s="1"/>
  <c r="M20" i="1"/>
  <c r="C51" i="1" s="1"/>
  <c r="M24" i="1"/>
  <c r="C55" i="1" s="1"/>
  <c r="M23" i="1"/>
  <c r="C54" i="1" s="1"/>
  <c r="M22" i="1"/>
  <c r="C53" i="1" s="1"/>
  <c r="M21" i="1"/>
  <c r="C52" i="1" s="1"/>
  <c r="M19" i="1"/>
  <c r="C50" i="1" s="1"/>
  <c r="M18" i="1"/>
  <c r="C49" i="1" s="1"/>
  <c r="M17" i="1"/>
  <c r="C48" i="1" s="1"/>
  <c r="C69" i="1" l="1"/>
  <c r="J69" i="1"/>
  <c r="L69" i="1" s="1"/>
  <c r="E171" i="1"/>
  <c r="C183" i="1" s="1"/>
  <c r="E172" i="1"/>
  <c r="C184" i="1" s="1"/>
  <c r="C68" i="1"/>
  <c r="E68" i="1" s="1"/>
  <c r="J68" i="1"/>
  <c r="L68" i="1" s="1"/>
  <c r="J67" i="1"/>
  <c r="L67" i="1" s="1"/>
  <c r="C67" i="1"/>
  <c r="E67" i="1" s="1"/>
  <c r="J72" i="1"/>
  <c r="C72" i="1"/>
  <c r="C71" i="1"/>
  <c r="J71" i="1"/>
  <c r="J63" i="1"/>
  <c r="L63" i="1" s="1"/>
  <c r="C63" i="1"/>
  <c r="E63" i="1" s="1"/>
  <c r="J66" i="1"/>
  <c r="L66" i="1" s="1"/>
  <c r="C66" i="1"/>
  <c r="E66" i="1" s="1"/>
  <c r="C70" i="1"/>
  <c r="J70" i="1"/>
  <c r="C64" i="1"/>
  <c r="J64" i="1"/>
  <c r="J65" i="1"/>
  <c r="L65" i="1" s="1"/>
  <c r="C65" i="1"/>
  <c r="E65" i="1" s="1"/>
  <c r="L71" i="1"/>
  <c r="E71" i="1"/>
  <c r="O40" i="1"/>
  <c r="O39" i="1"/>
  <c r="L70" i="1"/>
  <c r="E70" i="1"/>
  <c r="L72" i="1"/>
  <c r="E72" i="1"/>
  <c r="O41" i="1"/>
  <c r="E69" i="1"/>
  <c r="O38" i="1"/>
  <c r="O37" i="1"/>
  <c r="O36" i="1"/>
  <c r="O34" i="1"/>
  <c r="O35" i="1"/>
  <c r="L64" i="1"/>
  <c r="E64" i="1"/>
  <c r="O33" i="1"/>
  <c r="O32" i="1"/>
  <c r="E57" i="1"/>
  <c r="O26" i="1"/>
  <c r="E56" i="1"/>
  <c r="O25" i="1"/>
  <c r="E51" i="1"/>
  <c r="O20" i="1"/>
  <c r="O24" i="1"/>
  <c r="E55" i="1"/>
  <c r="O23" i="1"/>
  <c r="E54" i="1"/>
  <c r="O22" i="1"/>
  <c r="E53" i="1"/>
  <c r="O21" i="1"/>
  <c r="E52" i="1"/>
  <c r="O19" i="1"/>
  <c r="E50" i="1"/>
  <c r="O18" i="1"/>
  <c r="E49" i="1"/>
  <c r="O17" i="1"/>
  <c r="E48" i="1"/>
</calcChain>
</file>

<file path=xl/sharedStrings.xml><?xml version="1.0" encoding="utf-8"?>
<sst xmlns="http://schemas.openxmlformats.org/spreadsheetml/2006/main" count="235" uniqueCount="121">
  <si>
    <t>Pin</t>
  </si>
  <si>
    <t>Put</t>
  </si>
  <si>
    <t>Flöde</t>
  </si>
  <si>
    <t>H,stat</t>
  </si>
  <si>
    <t>kWh</t>
  </si>
  <si>
    <t>L/h</t>
  </si>
  <si>
    <t>Reflex/min</t>
  </si>
  <si>
    <t>Våg</t>
  </si>
  <si>
    <t>gram</t>
  </si>
  <si>
    <t>Pumpvarvtal</t>
  </si>
  <si>
    <t>Motorvarvtal</t>
  </si>
  <si>
    <t>rpm</t>
  </si>
  <si>
    <t>Uppfordringhöjd</t>
  </si>
  <si>
    <t>m</t>
  </si>
  <si>
    <t>Nyttig effekt</t>
  </si>
  <si>
    <t>Axeleffekt</t>
  </si>
  <si>
    <t>W</t>
  </si>
  <si>
    <t>mbar</t>
  </si>
  <si>
    <t>kPa</t>
  </si>
  <si>
    <t>Verkningsgrad</t>
  </si>
  <si>
    <t>Rördiameter, sug</t>
  </si>
  <si>
    <t>Rördiameter, tryck</t>
  </si>
  <si>
    <t>RörLängd,sug</t>
  </si>
  <si>
    <t>RörLängd,tryck</t>
  </si>
  <si>
    <t>Re,sug</t>
  </si>
  <si>
    <t>Re,tryck</t>
  </si>
  <si>
    <t>Lambda,sug</t>
  </si>
  <si>
    <t>Lambda,tryck</t>
  </si>
  <si>
    <t>Hf,sug</t>
  </si>
  <si>
    <t>Hf,tryck</t>
  </si>
  <si>
    <t>-</t>
  </si>
  <si>
    <t>Dyn_visc</t>
  </si>
  <si>
    <t>Hz</t>
  </si>
  <si>
    <t>Växelström</t>
  </si>
  <si>
    <t>Vridmoment</t>
  </si>
  <si>
    <t>Nm</t>
  </si>
  <si>
    <t>Eftersläpning</t>
  </si>
  <si>
    <t>%</t>
  </si>
  <si>
    <t>Hsystem</t>
  </si>
  <si>
    <t>Takometer</t>
  </si>
  <si>
    <t>h</t>
  </si>
  <si>
    <t>Pas</t>
  </si>
  <si>
    <t>2. Vridmoment vs asynkronmotorns eftersläpning</t>
  </si>
  <si>
    <t>Vilka av de fyra affinitetslagarna verkar fungera bäst respektive sämst?</t>
  </si>
  <si>
    <t xml:space="preserve">Vad blir flödet i fiktiva systemet vid de två varvtalen? </t>
  </si>
  <si>
    <t>Vad blir varvtalet beräknat på de fyra sätten?</t>
  </si>
  <si>
    <t>Vilka metoder för reglering av flödet kräver mest respektive minst elenergi?</t>
  </si>
  <si>
    <t>Varvtalsreglering beräknat från 1200-data</t>
  </si>
  <si>
    <t>Strypreglering</t>
  </si>
  <si>
    <t>Shuntreglering</t>
  </si>
  <si>
    <t>Elektrisk effekt</t>
  </si>
  <si>
    <t>Årlig elenergi</t>
  </si>
  <si>
    <t>Till/från</t>
  </si>
  <si>
    <t>Likformkurva,10</t>
  </si>
  <si>
    <t>4.3 Energianvändning vid olika metoder för reglering av flödet</t>
  </si>
  <si>
    <t>4.2 Varvtal för att uppnå ett specificerat flöde</t>
  </si>
  <si>
    <t>3. Utvärdering av affinitetslagar</t>
  </si>
  <si>
    <t>PumphjulsDiam</t>
  </si>
  <si>
    <t>Tyngdacc</t>
  </si>
  <si>
    <t>Euler</t>
  </si>
  <si>
    <t>Hävarm</t>
  </si>
  <si>
    <t>Δz</t>
  </si>
  <si>
    <t>grader</t>
  </si>
  <si>
    <t>PumphjulsÖppning</t>
  </si>
  <si>
    <t>Densitet</t>
  </si>
  <si>
    <t>Diam anslutning sug</t>
  </si>
  <si>
    <t>Diam anslutning tryck</t>
  </si>
  <si>
    <t>Fiktiva rörsystemet, kap 4</t>
  </si>
  <si>
    <t>Mätserie B. Pumpprestanda finjusterade till 1200 rpm, kap 2</t>
  </si>
  <si>
    <t>kap 4.2</t>
  </si>
  <si>
    <t>Euler, Maximal teoretisk uppfordringshöjd, kap 3</t>
  </si>
  <si>
    <t>Varvtal=</t>
  </si>
  <si>
    <t>m/s</t>
  </si>
  <si>
    <t>J/kg</t>
  </si>
  <si>
    <t>Engång.koef. Σξ tryck</t>
  </si>
  <si>
    <t>π</t>
  </si>
  <si>
    <t>Verkningsgrad elmotor</t>
  </si>
  <si>
    <t>Anläggningens årliga drifttid</t>
  </si>
  <si>
    <t>Pumpens</t>
  </si>
  <si>
    <t>till elmotorn</t>
  </si>
  <si>
    <t>från elnätet</t>
  </si>
  <si>
    <t>uppfordringshöjd</t>
  </si>
  <si>
    <t>flöde</t>
  </si>
  <si>
    <t>diagramflöde</t>
  </si>
  <si>
    <t>verkningsgrad</t>
  </si>
  <si>
    <t>nyttiga effekt</t>
  </si>
  <si>
    <t>Svar</t>
  </si>
  <si>
    <t>Uppfordringshöjd</t>
  </si>
  <si>
    <t>Mätserie B. Mätvärden uppmätta i vid 1200 rpm +-3%, kap 1</t>
  </si>
  <si>
    <t>Beräknade värden vid uppmätt varvtal, 15xx rpm, kap 2</t>
  </si>
  <si>
    <t>Beräknade värden vid uppmätt varvtal, 12xx rpm, kap 2</t>
  </si>
  <si>
    <t>Medelvärden som används i beräkningarna, m:</t>
  </si>
  <si>
    <t>Upprepade mätningar, mm:</t>
  </si>
  <si>
    <t>Verkningsgrad frekvensomriktare</t>
  </si>
  <si>
    <t>Ytråhet (skrovlighet)</t>
  </si>
  <si>
    <t>Mätserie B. Pumpprestanda omräknade till 1500 rpm, test av affinitetslagar, kap 3</t>
  </si>
  <si>
    <t>Diagramvarvtal</t>
  </si>
  <si>
    <t>Diagramflöde</t>
  </si>
  <si>
    <t>DiagramHp</t>
  </si>
  <si>
    <t>nv, flöde</t>
  </si>
  <si>
    <t>nv, Hp</t>
  </si>
  <si>
    <t>Verkligt, önskat:</t>
  </si>
  <si>
    <t>Hp</t>
  </si>
  <si>
    <r>
      <t>kg/m</t>
    </r>
    <r>
      <rPr>
        <vertAlign val="superscript"/>
        <sz val="11"/>
        <color theme="1"/>
        <rFont val="Arial Narrow"/>
        <family val="2"/>
      </rPr>
      <t>3</t>
    </r>
  </si>
  <si>
    <r>
      <t>m/s</t>
    </r>
    <r>
      <rPr>
        <vertAlign val="superscript"/>
        <sz val="11"/>
        <color theme="1"/>
        <rFont val="Arial Narrow"/>
        <family val="2"/>
      </rPr>
      <t>2</t>
    </r>
  </si>
  <si>
    <r>
      <t>Skovelvinkel, β</t>
    </r>
    <r>
      <rPr>
        <sz val="8.25"/>
        <color theme="1"/>
        <rFont val="Arial Narrow"/>
        <family val="2"/>
      </rPr>
      <t>2</t>
    </r>
  </si>
  <si>
    <r>
      <t>m</t>
    </r>
    <r>
      <rPr>
        <vertAlign val="superscript"/>
        <sz val="11"/>
        <color theme="1"/>
        <rFont val="Arial Narrow"/>
        <family val="2"/>
      </rPr>
      <t>3</t>
    </r>
    <r>
      <rPr>
        <sz val="11"/>
        <color theme="1"/>
        <rFont val="Arial Narrow"/>
        <family val="2"/>
      </rPr>
      <t>/h</t>
    </r>
  </si>
  <si>
    <r>
      <t>u</t>
    </r>
    <r>
      <rPr>
        <vertAlign val="subscript"/>
        <sz val="11"/>
        <color theme="1"/>
        <rFont val="Arial Narrow"/>
        <family val="2"/>
      </rPr>
      <t>2</t>
    </r>
    <r>
      <rPr>
        <sz val="11"/>
        <color theme="1"/>
        <rFont val="Arial Narrow"/>
        <family val="2"/>
      </rPr>
      <t>=</t>
    </r>
  </si>
  <si>
    <r>
      <t>c</t>
    </r>
    <r>
      <rPr>
        <vertAlign val="subscript"/>
        <sz val="11"/>
        <color theme="1"/>
        <rFont val="Arial Narrow"/>
        <family val="2"/>
      </rPr>
      <t>2m</t>
    </r>
  </si>
  <si>
    <r>
      <t>c</t>
    </r>
    <r>
      <rPr>
        <vertAlign val="subscript"/>
        <sz val="11"/>
        <color theme="1"/>
        <rFont val="Arial Narrow"/>
        <family val="2"/>
      </rPr>
      <t>2u</t>
    </r>
  </si>
  <si>
    <r>
      <t>l</t>
    </r>
    <r>
      <rPr>
        <vertAlign val="subscript"/>
        <sz val="11"/>
        <color theme="1"/>
        <rFont val="Arial Narrow"/>
        <family val="2"/>
      </rPr>
      <t>sk</t>
    </r>
  </si>
  <si>
    <t>Engång.koef. Σξ sug</t>
  </si>
  <si>
    <r>
      <t>Hur förväntas de förhålla sig och hur ser det ut?</t>
    </r>
    <r>
      <rPr>
        <sz val="11"/>
        <color theme="1"/>
        <rFont val="Arial Narrow"/>
        <family val="2"/>
      </rPr>
      <t xml:space="preserve"> </t>
    </r>
  </si>
  <si>
    <t>Grupp 5: Emil Persson, Johan Hammar</t>
  </si>
  <si>
    <t>4.1 Flöde i systemet vid de två varvtalen (1200 resp 1500 rpm)</t>
  </si>
  <si>
    <t>Mätserie A. Mätvärden uppmätta i vid 1500 rpm +-3%, kap 1</t>
  </si>
  <si>
    <t>Mätserie A. Pumpprestanda finjusterade till 1500 rpm, kap 2</t>
  </si>
  <si>
    <t>Svar.</t>
  </si>
  <si>
    <t>Vridmomentet ökar vid högre slip. Det ser vi stämma bra översens med våran data. (Vridmoment som funktion av eftersläpning)</t>
  </si>
  <si>
    <t>Affinitetslagen för uppfordringshöjd som funktion av flöde verkar fungera bäst, vi ser det då kurvorna från både finsjuterade och ändrade stämmer väl översens. Affinitetslagen för axeleffekt som funktion av flöde fungerade sämmst då den hade störst differans mellan den finjusterade och den ändrade kurvorvna.</t>
  </si>
  <si>
    <t>Varvtalsreglering beräknat från 1500-data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</si>
</sst>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0"/>
    <numFmt numFmtId="166" formatCode="0.0%"/>
    <numFmt numFmtId="167" formatCode="0.0000"/>
    <numFmt numFmtId="168" formatCode="0.00000"/>
    <numFmt numFmtId="169" formatCode="0.0000000"/>
    <numFmt numFmtId="170" formatCode="0.00000000"/>
  </numFmts>
  <fonts count="21" x14ac:knownFonts="1">
    <font>
      <sz val="11"/>
      <color theme="1"/>
      <name val="Calibri"/>
      <family val="2"/>
      <scheme val="minor"/>
    </font>
    <font>
      <sz val="11"/>
      <color theme="1"/>
      <name val="Calibri"/>
      <family val="2"/>
      <scheme val="minor"/>
    </font>
    <font>
      <b/>
      <sz val="14"/>
      <color theme="1"/>
      <name val="Arial Narrow"/>
      <family val="2"/>
    </font>
    <font>
      <sz val="11"/>
      <color theme="1"/>
      <name val="Arial Narrow"/>
      <family val="2"/>
    </font>
    <font>
      <b/>
      <sz val="11"/>
      <color theme="1"/>
      <name val="Arial Narrow"/>
      <family val="2"/>
    </font>
    <font>
      <b/>
      <sz val="11"/>
      <name val="Arial Narrow"/>
      <family val="2"/>
    </font>
    <font>
      <sz val="11"/>
      <name val="Arial Narrow"/>
      <family val="2"/>
    </font>
    <font>
      <vertAlign val="superscript"/>
      <sz val="11"/>
      <color theme="1"/>
      <name val="Arial Narrow"/>
      <family val="2"/>
    </font>
    <font>
      <sz val="8.25"/>
      <color theme="1"/>
      <name val="Arial Narrow"/>
      <family val="2"/>
    </font>
    <font>
      <sz val="12"/>
      <color theme="1"/>
      <name val="Arial Narrow"/>
      <family val="2"/>
    </font>
    <font>
      <b/>
      <sz val="12"/>
      <color theme="1"/>
      <name val="Arial Narrow"/>
      <family val="2"/>
    </font>
    <font>
      <i/>
      <sz val="11"/>
      <color theme="1"/>
      <name val="Arial Narrow"/>
      <family val="2"/>
    </font>
    <font>
      <b/>
      <sz val="12"/>
      <name val="Arial Narrow"/>
      <family val="2"/>
    </font>
    <font>
      <vertAlign val="subscript"/>
      <sz val="11"/>
      <color theme="1"/>
      <name val="Arial Narrow"/>
      <family val="2"/>
    </font>
    <font>
      <b/>
      <sz val="11"/>
      <color rgb="FF4F81BD"/>
      <name val="Arial Narrow"/>
      <family val="2"/>
    </font>
    <font>
      <sz val="11"/>
      <color rgb="FF00B050"/>
      <name val="Arial Narrow"/>
      <family val="2"/>
    </font>
    <font>
      <sz val="11"/>
      <color rgb="FFFF0000"/>
      <name val="Arial Narrow"/>
      <family val="2"/>
    </font>
    <font>
      <sz val="11"/>
      <color rgb="FF365F91"/>
      <name val="Arial Narrow"/>
      <family val="2"/>
    </font>
    <font>
      <b/>
      <sz val="11"/>
      <color rgb="FF00B050"/>
      <name val="Arial Narrow"/>
      <family val="2"/>
    </font>
    <font>
      <sz val="11"/>
      <color rgb="FF006100"/>
      <name val="Calibri"/>
      <family val="2"/>
      <scheme val="minor"/>
    </font>
    <font>
      <sz val="11"/>
      <color rgb="FF9C0006"/>
      <name val="Calibri"/>
      <family val="2"/>
      <scheme val="minor"/>
    </font>
  </fonts>
  <fills count="9">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rgb="FFC6EFCE"/>
      </patternFill>
    </fill>
    <fill>
      <patternFill patternType="solid">
        <fgColor rgb="FFFFC7CE"/>
      </patternFill>
    </fill>
  </fills>
  <borders count="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19" fillId="7" borderId="0" applyNumberFormat="0" applyBorder="0" applyAlignment="0" applyProtection="0"/>
    <xf numFmtId="0" fontId="20" fillId="8" borderId="0" applyNumberFormat="0" applyBorder="0" applyAlignment="0" applyProtection="0"/>
  </cellStyleXfs>
  <cellXfs count="67">
    <xf numFmtId="0" fontId="0" fillId="0" borderId="0" xfId="0"/>
    <xf numFmtId="0" fontId="2" fillId="2" borderId="0" xfId="0" applyFont="1" applyFill="1"/>
    <xf numFmtId="0" fontId="3" fillId="2" borderId="0" xfId="0" applyFont="1" applyFill="1"/>
    <xf numFmtId="0" fontId="3" fillId="0" borderId="0" xfId="0" applyFont="1"/>
    <xf numFmtId="0" fontId="4" fillId="0" borderId="0" xfId="0" applyFont="1" applyAlignment="1">
      <alignment horizontal="center"/>
    </xf>
    <xf numFmtId="0" fontId="3" fillId="0" borderId="0" xfId="0" applyFont="1" applyAlignment="1">
      <alignment horizontal="right"/>
    </xf>
    <xf numFmtId="0" fontId="5" fillId="0" borderId="0" xfId="0" applyFont="1" applyAlignment="1">
      <alignment horizontal="right"/>
    </xf>
    <xf numFmtId="0" fontId="3" fillId="3" borderId="0" xfId="0" applyFont="1" applyFill="1" applyAlignment="1">
      <alignment horizontal="center"/>
    </xf>
    <xf numFmtId="0" fontId="6" fillId="2" borderId="0" xfId="0" applyFont="1" applyFill="1"/>
    <xf numFmtId="0" fontId="3" fillId="0" borderId="0" xfId="0" applyFont="1" applyAlignment="1">
      <alignment horizontal="center"/>
    </xf>
    <xf numFmtId="0" fontId="4" fillId="0" borderId="0" xfId="0" applyFont="1" applyAlignment="1">
      <alignment horizontal="right"/>
    </xf>
    <xf numFmtId="0" fontId="3" fillId="2" borderId="2" xfId="0" applyFont="1" applyFill="1" applyBorder="1" applyAlignment="1">
      <alignment horizontal="center"/>
    </xf>
    <xf numFmtId="0" fontId="9" fillId="0" borderId="0" xfId="0" applyFont="1" applyAlignment="1">
      <alignment horizontal="center"/>
    </xf>
    <xf numFmtId="0" fontId="10" fillId="0" borderId="0" xfId="0" applyFont="1"/>
    <xf numFmtId="164" fontId="10" fillId="0" borderId="0" xfId="0" applyNumberFormat="1" applyFont="1"/>
    <xf numFmtId="0" fontId="3" fillId="0" borderId="1" xfId="0" applyFont="1" applyBorder="1" applyAlignment="1">
      <alignment horizontal="center"/>
    </xf>
    <xf numFmtId="0" fontId="3" fillId="0" borderId="0" xfId="0" quotePrefix="1" applyFont="1" applyAlignment="1">
      <alignment horizontal="center"/>
    </xf>
    <xf numFmtId="10" fontId="3" fillId="3" borderId="2" xfId="1" applyNumberFormat="1" applyFont="1" applyFill="1" applyBorder="1" applyAlignment="1">
      <alignment horizontal="center"/>
    </xf>
    <xf numFmtId="0" fontId="11" fillId="0" borderId="0" xfId="0" applyFont="1"/>
    <xf numFmtId="166" fontId="3" fillId="0" borderId="0" xfId="1" applyNumberFormat="1" applyFont="1"/>
    <xf numFmtId="0" fontId="3" fillId="0" borderId="0" xfId="1" applyNumberFormat="1" applyFont="1"/>
    <xf numFmtId="0" fontId="4" fillId="0" borderId="0" xfId="0" applyFont="1"/>
    <xf numFmtId="164" fontId="12" fillId="0" borderId="0" xfId="0" applyNumberFormat="1" applyFont="1"/>
    <xf numFmtId="1" fontId="11" fillId="0" borderId="0" xfId="0" applyNumberFormat="1" applyFont="1"/>
    <xf numFmtId="165" fontId="11" fillId="0" borderId="0" xfId="0" applyNumberFormat="1" applyFont="1"/>
    <xf numFmtId="2" fontId="11" fillId="0" borderId="0" xfId="0" applyNumberFormat="1" applyFont="1"/>
    <xf numFmtId="166" fontId="4" fillId="0" borderId="0" xfId="1" applyNumberFormat="1" applyFont="1"/>
    <xf numFmtId="2" fontId="4" fillId="0" borderId="0" xfId="0" applyNumberFormat="1" applyFont="1"/>
    <xf numFmtId="165" fontId="3" fillId="3" borderId="0" xfId="0" applyNumberFormat="1" applyFont="1" applyFill="1"/>
    <xf numFmtId="2" fontId="3" fillId="0" borderId="0" xfId="0" applyNumberFormat="1" applyFont="1" applyAlignment="1">
      <alignment horizontal="center"/>
    </xf>
    <xf numFmtId="9" fontId="3" fillId="0" borderId="0" xfId="1" applyFont="1" applyAlignment="1">
      <alignment horizontal="center"/>
    </xf>
    <xf numFmtId="0" fontId="3" fillId="2" borderId="0" xfId="0" applyFont="1" applyFill="1" applyAlignment="1">
      <alignment horizontal="center"/>
    </xf>
    <xf numFmtId="0" fontId="3" fillId="0" borderId="0" xfId="0" quotePrefix="1" applyFont="1"/>
    <xf numFmtId="0" fontId="3" fillId="0" borderId="0" xfId="0" applyFont="1" applyAlignment="1">
      <alignment horizontal="left"/>
    </xf>
    <xf numFmtId="0" fontId="3" fillId="0" borderId="0" xfId="0" quotePrefix="1" applyFont="1" applyAlignment="1">
      <alignment horizontal="left"/>
    </xf>
    <xf numFmtId="3" fontId="3" fillId="3" borderId="2" xfId="0" applyNumberFormat="1" applyFont="1" applyFill="1" applyBorder="1" applyAlignment="1">
      <alignment horizontal="center"/>
    </xf>
    <xf numFmtId="2" fontId="3" fillId="0" borderId="0" xfId="0" applyNumberFormat="1" applyFont="1"/>
    <xf numFmtId="0" fontId="3" fillId="4" borderId="2" xfId="0" applyFont="1" applyFill="1" applyBorder="1" applyAlignment="1">
      <alignment horizontal="center"/>
    </xf>
    <xf numFmtId="0" fontId="14" fillId="0" borderId="0" xfId="0" applyFont="1" applyAlignment="1">
      <alignment vertical="center"/>
    </xf>
    <xf numFmtId="0" fontId="15" fillId="0" borderId="0" xfId="0" applyFont="1" applyAlignment="1">
      <alignment vertical="center"/>
    </xf>
    <xf numFmtId="0" fontId="16" fillId="0" borderId="0" xfId="0" applyFont="1"/>
    <xf numFmtId="0" fontId="17" fillId="0" borderId="0" xfId="0" applyFont="1" applyAlignment="1">
      <alignment vertical="center"/>
    </xf>
    <xf numFmtId="0" fontId="15" fillId="0" borderId="0" xfId="0" applyFont="1"/>
    <xf numFmtId="165" fontId="18" fillId="5" borderId="2" xfId="0" applyNumberFormat="1" applyFont="1" applyFill="1" applyBorder="1" applyAlignment="1">
      <alignment horizontal="center"/>
    </xf>
    <xf numFmtId="165" fontId="3" fillId="5" borderId="2" xfId="0" applyNumberFormat="1" applyFont="1" applyFill="1" applyBorder="1" applyAlignment="1">
      <alignment horizontal="center"/>
    </xf>
    <xf numFmtId="1" fontId="3" fillId="0" borderId="0" xfId="0" applyNumberFormat="1" applyFont="1" applyAlignment="1">
      <alignment horizontal="center"/>
    </xf>
    <xf numFmtId="9" fontId="3" fillId="2" borderId="0" xfId="0" applyNumberFormat="1" applyFont="1" applyFill="1" applyAlignment="1">
      <alignment horizontal="center"/>
    </xf>
    <xf numFmtId="0" fontId="3" fillId="5" borderId="2" xfId="0" applyFont="1" applyFill="1" applyBorder="1" applyAlignment="1">
      <alignment horizontal="center"/>
    </xf>
    <xf numFmtId="10" fontId="3" fillId="5" borderId="2" xfId="1" applyNumberFormat="1" applyFont="1" applyFill="1" applyBorder="1" applyAlignment="1">
      <alignment horizontal="center"/>
    </xf>
    <xf numFmtId="2" fontId="3" fillId="3" borderId="2" xfId="0" applyNumberFormat="1" applyFont="1" applyFill="1" applyBorder="1" applyAlignment="1">
      <alignment horizontal="center"/>
    </xf>
    <xf numFmtId="165" fontId="3" fillId="3" borderId="2" xfId="0" applyNumberFormat="1" applyFont="1" applyFill="1" applyBorder="1" applyAlignment="1">
      <alignment horizontal="center"/>
    </xf>
    <xf numFmtId="165" fontId="3" fillId="3" borderId="2" xfId="1" applyNumberFormat="1" applyFont="1" applyFill="1" applyBorder="1" applyAlignment="1">
      <alignment horizontal="center"/>
    </xf>
    <xf numFmtId="164" fontId="3" fillId="2" borderId="2" xfId="0" applyNumberFormat="1" applyFont="1" applyFill="1" applyBorder="1" applyAlignment="1">
      <alignment horizontal="center"/>
    </xf>
    <xf numFmtId="2" fontId="3" fillId="2" borderId="2" xfId="0" applyNumberFormat="1" applyFont="1" applyFill="1" applyBorder="1" applyAlignment="1">
      <alignment horizontal="center"/>
    </xf>
    <xf numFmtId="166" fontId="3" fillId="3" borderId="2" xfId="1" applyNumberFormat="1" applyFont="1" applyFill="1" applyBorder="1" applyAlignment="1">
      <alignment horizontal="center"/>
    </xf>
    <xf numFmtId="167" fontId="3" fillId="3" borderId="2" xfId="0" applyNumberFormat="1" applyFont="1" applyFill="1" applyBorder="1" applyAlignment="1">
      <alignment horizontal="center"/>
    </xf>
    <xf numFmtId="168" fontId="3" fillId="3" borderId="2" xfId="0" applyNumberFormat="1" applyFont="1" applyFill="1" applyBorder="1" applyAlignment="1">
      <alignment horizontal="center"/>
    </xf>
    <xf numFmtId="169" fontId="3" fillId="3" borderId="2" xfId="0" applyNumberFormat="1" applyFont="1" applyFill="1" applyBorder="1" applyAlignment="1">
      <alignment horizontal="center"/>
    </xf>
    <xf numFmtId="170" fontId="3" fillId="3" borderId="2" xfId="0" applyNumberFormat="1" applyFont="1" applyFill="1" applyBorder="1" applyAlignment="1">
      <alignment horizontal="center"/>
    </xf>
    <xf numFmtId="165" fontId="3" fillId="6" borderId="2" xfId="0" applyNumberFormat="1" applyFont="1" applyFill="1" applyBorder="1" applyAlignment="1">
      <alignment horizontal="center"/>
    </xf>
    <xf numFmtId="164" fontId="3" fillId="3" borderId="0" xfId="0" applyNumberFormat="1" applyFont="1" applyFill="1" applyAlignment="1">
      <alignment horizontal="center"/>
    </xf>
    <xf numFmtId="2" fontId="18" fillId="5" borderId="2" xfId="0" applyNumberFormat="1" applyFont="1" applyFill="1" applyBorder="1" applyAlignment="1">
      <alignment horizontal="center"/>
    </xf>
    <xf numFmtId="2" fontId="3" fillId="5" borderId="2" xfId="0" applyNumberFormat="1" applyFont="1" applyFill="1" applyBorder="1" applyAlignment="1">
      <alignment horizontal="center"/>
    </xf>
    <xf numFmtId="1" fontId="3" fillId="3" borderId="2" xfId="0" applyNumberFormat="1" applyFont="1" applyFill="1" applyBorder="1" applyAlignment="1">
      <alignment horizontal="center"/>
    </xf>
    <xf numFmtId="164" fontId="3" fillId="5" borderId="2" xfId="0" applyNumberFormat="1" applyFont="1" applyFill="1" applyBorder="1" applyAlignment="1">
      <alignment horizontal="center"/>
    </xf>
    <xf numFmtId="1" fontId="19" fillId="7" borderId="2" xfId="2" applyNumberFormat="1" applyBorder="1" applyAlignment="1">
      <alignment horizontal="center"/>
    </xf>
    <xf numFmtId="1" fontId="20" fillId="8" borderId="2" xfId="3" applyNumberFormat="1" applyBorder="1" applyAlignment="1">
      <alignment horizontal="center"/>
    </xf>
  </cellXfs>
  <cellStyles count="4">
    <cellStyle name="Bad" xfId="3" builtinId="27"/>
    <cellStyle name="Good" xfId="2" builtinId="26"/>
    <cellStyle name="Normal" xfId="0" builtinId="0"/>
    <cellStyle name="Percent" xfId="1" builtinId="5"/>
  </cellStyles>
  <dxfs count="0"/>
  <tableStyles count="0" defaultTableStyle="TableStyleMedium2" defaultPivotStyle="PivotStyleMedium9"/>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v-SE" sz="1400" b="0" i="0" u="none" strike="noStrike" kern="1200" spc="0" baseline="0">
                <a:solidFill>
                  <a:sysClr val="windowText" lastClr="000000">
                    <a:lumMod val="65000"/>
                    <a:lumOff val="35000"/>
                  </a:sysClr>
                </a:solidFill>
              </a:rPr>
              <a:t>Vridmoment som funktion av eftersläpning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scatterChart>
        <c:scatterStyle val="lineMarker"/>
        <c:varyColors val="0"/>
        <c:ser>
          <c:idx val="0"/>
          <c:order val="0"/>
          <c:tx>
            <c:v>Mätserie A</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Sheet1!$I$17:$I$26</c:f>
              <c:numCache>
                <c:formatCode>0.00%</c:formatCode>
                <c:ptCount val="10"/>
                <c:pt idx="0">
                  <c:v>5.3992611537368451E-2</c:v>
                </c:pt>
                <c:pt idx="1">
                  <c:v>5.2998010798522399E-2</c:v>
                </c:pt>
                <c:pt idx="2">
                  <c:v>5.18613242398408E-2</c:v>
                </c:pt>
                <c:pt idx="3">
                  <c:v>5.1577152600170484E-2</c:v>
                </c:pt>
                <c:pt idx="4">
                  <c:v>5.0736961451247176E-2</c:v>
                </c:pt>
                <c:pt idx="5">
                  <c:v>4.7335600907029596E-2</c:v>
                </c:pt>
                <c:pt idx="6">
                  <c:v>4.5634920634920695E-2</c:v>
                </c:pt>
                <c:pt idx="7">
                  <c:v>4.3934240362811905E-2</c:v>
                </c:pt>
                <c:pt idx="8">
                  <c:v>4.1383219954648554E-2</c:v>
                </c:pt>
                <c:pt idx="9">
                  <c:v>3.8548752834467015E-2</c:v>
                </c:pt>
              </c:numCache>
            </c:numRef>
          </c:xVal>
          <c:yVal>
            <c:numRef>
              <c:f>Sheet1!$J$17:$J$26</c:f>
              <c:numCache>
                <c:formatCode>0.000</c:formatCode>
                <c:ptCount val="10"/>
                <c:pt idx="0">
                  <c:v>1.3440746400000003</c:v>
                </c:pt>
                <c:pt idx="1">
                  <c:v>1.3423153800000001</c:v>
                </c:pt>
                <c:pt idx="2">
                  <c:v>1.3229635200000003</c:v>
                </c:pt>
                <c:pt idx="3">
                  <c:v>1.3018524000000002</c:v>
                </c:pt>
                <c:pt idx="4">
                  <c:v>1.2279634800000001</c:v>
                </c:pt>
                <c:pt idx="5">
                  <c:v>1.1663893800000003</c:v>
                </c:pt>
                <c:pt idx="6">
                  <c:v>1.1259264000000002</c:v>
                </c:pt>
                <c:pt idx="7">
                  <c:v>1.0872226800000002</c:v>
                </c:pt>
                <c:pt idx="8">
                  <c:v>1.0379634</c:v>
                </c:pt>
                <c:pt idx="9">
                  <c:v>0.98518560000000022</c:v>
                </c:pt>
              </c:numCache>
            </c:numRef>
          </c:yVal>
          <c:smooth val="0"/>
          <c:extLst>
            <c:ext xmlns:c16="http://schemas.microsoft.com/office/drawing/2014/chart" uri="{C3380CC4-5D6E-409C-BE32-E72D297353CC}">
              <c16:uniqueId val="{00000000-DBAF-4EE5-A983-0E39978DE3F2}"/>
            </c:ext>
          </c:extLst>
        </c:ser>
        <c:ser>
          <c:idx val="1"/>
          <c:order val="1"/>
          <c:tx>
            <c:v>Mätserie B</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xVal>
            <c:numRef>
              <c:f>Sheet1!$I$32:$I$41</c:f>
              <c:numCache>
                <c:formatCode>0.00%</c:formatCode>
                <c:ptCount val="10"/>
                <c:pt idx="0">
                  <c:v>5.1828186013489486E-2</c:v>
                </c:pt>
                <c:pt idx="1">
                  <c:v>5.0763223287184855E-2</c:v>
                </c:pt>
                <c:pt idx="2">
                  <c:v>5.0053248136315176E-2</c:v>
                </c:pt>
                <c:pt idx="3">
                  <c:v>4.5970891018814353E-2</c:v>
                </c:pt>
                <c:pt idx="4">
                  <c:v>4.7035853745118872E-2</c:v>
                </c:pt>
                <c:pt idx="5">
                  <c:v>4.6325878594249192E-2</c:v>
                </c:pt>
                <c:pt idx="6">
                  <c:v>4.4373446929357407E-2</c:v>
                </c:pt>
                <c:pt idx="7">
                  <c:v>4.2598509052183209E-2</c:v>
                </c:pt>
                <c:pt idx="8">
                  <c:v>4.3878273177636262E-2</c:v>
                </c:pt>
                <c:pt idx="9">
                  <c:v>4.1401273885350309E-2</c:v>
                </c:pt>
              </c:numCache>
            </c:numRef>
          </c:xVal>
          <c:yVal>
            <c:numRef>
              <c:f>Sheet1!$J$32:$J$41</c:f>
              <c:numCache>
                <c:formatCode>0.000</c:formatCode>
                <c:ptCount val="10"/>
                <c:pt idx="0">
                  <c:v>0.98518560000000022</c:v>
                </c:pt>
                <c:pt idx="1">
                  <c:v>0.97638930000000013</c:v>
                </c:pt>
                <c:pt idx="2">
                  <c:v>0.95879670000000017</c:v>
                </c:pt>
                <c:pt idx="3">
                  <c:v>0.93768558000000013</c:v>
                </c:pt>
                <c:pt idx="4">
                  <c:v>0.92361150000000014</c:v>
                </c:pt>
                <c:pt idx="5">
                  <c:v>0.8972226000000002</c:v>
                </c:pt>
                <c:pt idx="6">
                  <c:v>0.87963000000000013</c:v>
                </c:pt>
                <c:pt idx="7">
                  <c:v>0.84972258000000001</c:v>
                </c:pt>
                <c:pt idx="8">
                  <c:v>0.81101886000000023</c:v>
                </c:pt>
                <c:pt idx="9">
                  <c:v>0.77407440000000016</c:v>
                </c:pt>
              </c:numCache>
            </c:numRef>
          </c:yVal>
          <c:smooth val="0"/>
          <c:extLst>
            <c:ext xmlns:c16="http://schemas.microsoft.com/office/drawing/2014/chart" uri="{C3380CC4-5D6E-409C-BE32-E72D297353CC}">
              <c16:uniqueId val="{00000001-ED8E-4A20-8E83-B4EB3C150E86}"/>
            </c:ext>
          </c:extLst>
        </c:ser>
        <c:dLbls>
          <c:showLegendKey val="0"/>
          <c:showVal val="0"/>
          <c:showCatName val="0"/>
          <c:showSerName val="0"/>
          <c:showPercent val="0"/>
          <c:showBubbleSize val="0"/>
        </c:dLbls>
        <c:axId val="147464816"/>
        <c:axId val="147472496"/>
      </c:scatterChart>
      <c:valAx>
        <c:axId val="147464816"/>
        <c:scaling>
          <c:orientation val="minMax"/>
          <c:min val="3.0000000000000006E-2"/>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sz="1000" b="0" i="0" u="none" strike="noStrike" kern="1200" baseline="0">
                    <a:solidFill>
                      <a:sysClr val="windowText" lastClr="000000">
                        <a:lumMod val="65000"/>
                        <a:lumOff val="35000"/>
                      </a:sysClr>
                    </a:solidFill>
                  </a:rPr>
                  <a:t>Eftersläpning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47472496"/>
        <c:crosses val="autoZero"/>
        <c:crossBetween val="midCat"/>
      </c:valAx>
      <c:valAx>
        <c:axId val="147472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Vridmoment</a:t>
                </a:r>
                <a:r>
                  <a:rPr lang="sv-SE" baseline="0"/>
                  <a:t> (Nm)</a:t>
                </a:r>
                <a:endParaRPr lang="sv-S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47464816"/>
        <c:crosses val="autoZero"/>
        <c:crossBetween val="midCat"/>
      </c:valAx>
      <c:spPr>
        <a:noFill/>
        <a:ln>
          <a:noFill/>
        </a:ln>
        <a:effectLst/>
      </c:spPr>
    </c:plotArea>
    <c:legend>
      <c:legendPos val="r"/>
      <c:layout>
        <c:manualLayout>
          <c:xMode val="edge"/>
          <c:yMode val="edge"/>
          <c:x val="0.87572437511143886"/>
          <c:y val="0.10404488586199889"/>
          <c:w val="0.12427575676103193"/>
          <c:h val="0.164532730316380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v-SE"/>
              <a:t>Verkningsgrad som funktion av flöde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scatterChart>
        <c:scatterStyle val="lineMarker"/>
        <c:varyColors val="0"/>
        <c:ser>
          <c:idx val="0"/>
          <c:order val="0"/>
          <c:tx>
            <c:v>Mätserie A: 1500 rpm</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dispRSqr val="0"/>
            <c:dispEq val="0"/>
          </c:trendline>
          <c:xVal>
            <c:numRef>
              <c:f>Sheet1!$A$48:$A$57</c:f>
              <c:numCache>
                <c:formatCode>0.00</c:formatCode>
                <c:ptCount val="10"/>
                <c:pt idx="0">
                  <c:v>15.815560228296786</c:v>
                </c:pt>
                <c:pt idx="1">
                  <c:v>14.178544636159041</c:v>
                </c:pt>
                <c:pt idx="2">
                  <c:v>13.150007492881763</c:v>
                </c:pt>
                <c:pt idx="3">
                  <c:v>11.932584269662922</c:v>
                </c:pt>
                <c:pt idx="4">
                  <c:v>9.5737533592117057</c:v>
                </c:pt>
                <c:pt idx="5">
                  <c:v>8.1337399583457319</c:v>
                </c:pt>
                <c:pt idx="6">
                  <c:v>7.2171072171072179</c:v>
                </c:pt>
                <c:pt idx="7">
                  <c:v>6.403794841387489</c:v>
                </c:pt>
                <c:pt idx="8">
                  <c:v>5.4886162034299231</c:v>
                </c:pt>
                <c:pt idx="9">
                  <c:v>4.7759433962264151</c:v>
                </c:pt>
              </c:numCache>
            </c:numRef>
          </c:xVal>
          <c:yVal>
            <c:numRef>
              <c:f>Sheet1!$E$48:$E$57</c:f>
              <c:numCache>
                <c:formatCode>0.0%</c:formatCode>
                <c:ptCount val="10"/>
                <c:pt idx="0">
                  <c:v>0.36379363618874272</c:v>
                </c:pt>
                <c:pt idx="1">
                  <c:v>0.44116699368670798</c:v>
                </c:pt>
                <c:pt idx="2">
                  <c:v>0.46205797035172885</c:v>
                </c:pt>
                <c:pt idx="3">
                  <c:v>0.4670560422395576</c:v>
                </c:pt>
                <c:pt idx="4">
                  <c:v>0.46269080566796272</c:v>
                </c:pt>
                <c:pt idx="5">
                  <c:v>0.44636450474985917</c:v>
                </c:pt>
                <c:pt idx="6">
                  <c:v>0.42159651371654921</c:v>
                </c:pt>
                <c:pt idx="7">
                  <c:v>0.39753712884870845</c:v>
                </c:pt>
                <c:pt idx="8">
                  <c:v>0.36539255608693999</c:v>
                </c:pt>
                <c:pt idx="9">
                  <c:v>0.33749890367967239</c:v>
                </c:pt>
              </c:numCache>
            </c:numRef>
          </c:yVal>
          <c:smooth val="0"/>
          <c:extLst>
            <c:ext xmlns:c16="http://schemas.microsoft.com/office/drawing/2014/chart" uri="{C3380CC4-5D6E-409C-BE32-E72D297353CC}">
              <c16:uniqueId val="{00000004-1B5E-4012-A14D-2A4A0C83A15A}"/>
            </c:ext>
          </c:extLst>
        </c:ser>
        <c:ser>
          <c:idx val="1"/>
          <c:order val="1"/>
          <c:tx>
            <c:v>Mätserie B: 1200 rpm</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3"/>
            <c:dispRSqr val="0"/>
            <c:dispEq val="0"/>
          </c:trendline>
          <c:xVal>
            <c:numRef>
              <c:f>Sheet1!$A$63:$A$72</c:f>
              <c:numCache>
                <c:formatCode>0.00</c:formatCode>
                <c:ptCount val="10"/>
                <c:pt idx="0">
                  <c:v>12.534631224260577</c:v>
                </c:pt>
                <c:pt idx="1">
                  <c:v>11.51084517576664</c:v>
                </c:pt>
                <c:pt idx="2">
                  <c:v>10.594170403587444</c:v>
                </c:pt>
                <c:pt idx="3">
                  <c:v>9.6446511627906961</c:v>
                </c:pt>
                <c:pt idx="4">
                  <c:v>8.7502328180294278</c:v>
                </c:pt>
                <c:pt idx="5">
                  <c:v>7.9396984924623117</c:v>
                </c:pt>
                <c:pt idx="6">
                  <c:v>7.0208023774145607</c:v>
                </c:pt>
                <c:pt idx="7">
                  <c:v>6.2068965517241379</c:v>
                </c:pt>
                <c:pt idx="8">
                  <c:v>5.3960029607697999</c:v>
                </c:pt>
                <c:pt idx="9">
                  <c:v>4.3853820598006648</c:v>
                </c:pt>
              </c:numCache>
            </c:numRef>
          </c:xVal>
          <c:yVal>
            <c:numRef>
              <c:f>Sheet1!$E$63:$E$72</c:f>
              <c:numCache>
                <c:formatCode>0.0%</c:formatCode>
                <c:ptCount val="10"/>
                <c:pt idx="0">
                  <c:v>0.35330684261725659</c:v>
                </c:pt>
                <c:pt idx="1">
                  <c:v>0.38077472343869456</c:v>
                </c:pt>
                <c:pt idx="2">
                  <c:v>0.4100334210730972</c:v>
                </c:pt>
                <c:pt idx="3">
                  <c:v>0.43019209347185644</c:v>
                </c:pt>
                <c:pt idx="4">
                  <c:v>0.42885635037256481</c:v>
                </c:pt>
                <c:pt idx="5">
                  <c:v>0.42022074112982183</c:v>
                </c:pt>
                <c:pt idx="6">
                  <c:v>0.39670289970810119</c:v>
                </c:pt>
                <c:pt idx="7">
                  <c:v>0.37992085773689577</c:v>
                </c:pt>
                <c:pt idx="8">
                  <c:v>0.35188066580996941</c:v>
                </c:pt>
                <c:pt idx="9">
                  <c:v>0.31117465260340582</c:v>
                </c:pt>
              </c:numCache>
            </c:numRef>
          </c:yVal>
          <c:smooth val="0"/>
          <c:extLst>
            <c:ext xmlns:c16="http://schemas.microsoft.com/office/drawing/2014/chart" uri="{C3380CC4-5D6E-409C-BE32-E72D297353CC}">
              <c16:uniqueId val="{00000005-1B5E-4012-A14D-2A4A0C83A15A}"/>
            </c:ext>
          </c:extLst>
        </c:ser>
        <c:ser>
          <c:idx val="2"/>
          <c:order val="2"/>
          <c:tx>
            <c:v>Mätserie B: 1500 rpm</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3"/>
            <c:dispRSqr val="0"/>
            <c:dispEq val="0"/>
          </c:trendline>
          <c:xVal>
            <c:numRef>
              <c:f>Sheet1!$H$63:$H$72</c:f>
              <c:numCache>
                <c:formatCode>0.00</c:formatCode>
                <c:ptCount val="10"/>
                <c:pt idx="0">
                  <c:v>15.66828903032572</c:v>
                </c:pt>
                <c:pt idx="1">
                  <c:v>14.3885564697083</c:v>
                </c:pt>
                <c:pt idx="2">
                  <c:v>13.242713004484306</c:v>
                </c:pt>
                <c:pt idx="3">
                  <c:v>12.055813953488371</c:v>
                </c:pt>
                <c:pt idx="4">
                  <c:v>10.937791022536784</c:v>
                </c:pt>
                <c:pt idx="5">
                  <c:v>9.924623115577889</c:v>
                </c:pt>
                <c:pt idx="6">
                  <c:v>8.776002971768202</c:v>
                </c:pt>
                <c:pt idx="7">
                  <c:v>7.7586206896551717</c:v>
                </c:pt>
                <c:pt idx="8">
                  <c:v>6.7450037009622505</c:v>
                </c:pt>
                <c:pt idx="9">
                  <c:v>5.4817275747508312</c:v>
                </c:pt>
              </c:numCache>
            </c:numRef>
          </c:xVal>
          <c:yVal>
            <c:numRef>
              <c:f>Sheet1!$L$63:$L$72</c:f>
              <c:numCache>
                <c:formatCode>0.0%</c:formatCode>
                <c:ptCount val="10"/>
                <c:pt idx="0">
                  <c:v>0.35330684261725659</c:v>
                </c:pt>
                <c:pt idx="1">
                  <c:v>0.38077472343869451</c:v>
                </c:pt>
                <c:pt idx="2">
                  <c:v>0.41003342107309709</c:v>
                </c:pt>
                <c:pt idx="3">
                  <c:v>0.43019209347185644</c:v>
                </c:pt>
                <c:pt idx="4">
                  <c:v>0.42885635037256481</c:v>
                </c:pt>
                <c:pt idx="5">
                  <c:v>0.42022074112982172</c:v>
                </c:pt>
                <c:pt idx="6">
                  <c:v>0.39670289970810119</c:v>
                </c:pt>
                <c:pt idx="7">
                  <c:v>0.37992085773689577</c:v>
                </c:pt>
                <c:pt idx="8">
                  <c:v>0.35188066580996946</c:v>
                </c:pt>
                <c:pt idx="9">
                  <c:v>0.31117465260340582</c:v>
                </c:pt>
              </c:numCache>
            </c:numRef>
          </c:yVal>
          <c:smooth val="0"/>
          <c:extLst>
            <c:ext xmlns:c16="http://schemas.microsoft.com/office/drawing/2014/chart" uri="{C3380CC4-5D6E-409C-BE32-E72D297353CC}">
              <c16:uniqueId val="{00000006-1B5E-4012-A14D-2A4A0C83A15A}"/>
            </c:ext>
          </c:extLst>
        </c:ser>
        <c:dLbls>
          <c:showLegendKey val="0"/>
          <c:showVal val="0"/>
          <c:showCatName val="0"/>
          <c:showSerName val="0"/>
          <c:showPercent val="0"/>
          <c:showBubbleSize val="0"/>
        </c:dLbls>
        <c:axId val="110715088"/>
        <c:axId val="147493136"/>
      </c:scatterChart>
      <c:valAx>
        <c:axId val="1107150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Flöde (m3/h)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47493136"/>
        <c:crosses val="autoZero"/>
        <c:crossBetween val="midCat"/>
      </c:valAx>
      <c:valAx>
        <c:axId val="147493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Verkningsgrad</a:t>
                </a:r>
                <a:r>
                  <a:rPr lang="sv-SE" baseline="0"/>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10715088"/>
        <c:crosses val="autoZero"/>
        <c:crossBetween val="midCat"/>
      </c:valAx>
      <c:spPr>
        <a:noFill/>
        <a:ln>
          <a:noFill/>
        </a:ln>
        <a:effectLst/>
      </c:spPr>
    </c:plotArea>
    <c:legend>
      <c:legendPos val="r"/>
      <c:layout>
        <c:manualLayout>
          <c:xMode val="edge"/>
          <c:yMode val="edge"/>
          <c:x val="0.75016733789749801"/>
          <c:y val="0.10811445399916457"/>
          <c:w val="0.23193288853399704"/>
          <c:h val="0.292560999693306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v-SE"/>
              <a:t>Uppfordringshöjd som funktion av flöde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scatterChart>
        <c:scatterStyle val="lineMarker"/>
        <c:varyColors val="0"/>
        <c:ser>
          <c:idx val="0"/>
          <c:order val="0"/>
          <c:tx>
            <c:v>Mätserie A: 1500 rpm</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dispRSqr val="0"/>
            <c:dispEq val="0"/>
          </c:trendline>
          <c:xVal>
            <c:numRef>
              <c:f>Sheet1!$A$48:$A$57</c:f>
              <c:numCache>
                <c:formatCode>0.00</c:formatCode>
                <c:ptCount val="10"/>
                <c:pt idx="0">
                  <c:v>15.815560228296786</c:v>
                </c:pt>
                <c:pt idx="1">
                  <c:v>14.178544636159041</c:v>
                </c:pt>
                <c:pt idx="2">
                  <c:v>13.150007492881763</c:v>
                </c:pt>
                <c:pt idx="3">
                  <c:v>11.932584269662922</c:v>
                </c:pt>
                <c:pt idx="4">
                  <c:v>9.5737533592117057</c:v>
                </c:pt>
                <c:pt idx="5">
                  <c:v>8.1337399583457319</c:v>
                </c:pt>
                <c:pt idx="6">
                  <c:v>7.2171072171072179</c:v>
                </c:pt>
                <c:pt idx="7">
                  <c:v>6.403794841387489</c:v>
                </c:pt>
                <c:pt idx="8">
                  <c:v>5.4886162034299231</c:v>
                </c:pt>
                <c:pt idx="9">
                  <c:v>4.7759433962264151</c:v>
                </c:pt>
              </c:numCache>
            </c:numRef>
          </c:xVal>
          <c:yVal>
            <c:numRef>
              <c:f>Sheet1!$B$48:$B$57</c:f>
              <c:numCache>
                <c:formatCode>0.000</c:formatCode>
                <c:ptCount val="10"/>
                <c:pt idx="0">
                  <c:v>2.752586225315953</c:v>
                </c:pt>
                <c:pt idx="1">
                  <c:v>3.7107374428527651</c:v>
                </c:pt>
                <c:pt idx="2">
                  <c:v>4.1201278686292948</c:v>
                </c:pt>
                <c:pt idx="3">
                  <c:v>4.51365439221071</c:v>
                </c:pt>
                <c:pt idx="4">
                  <c:v>5.2208162566808838</c:v>
                </c:pt>
                <c:pt idx="5">
                  <c:v>5.590884473480398</c:v>
                </c:pt>
                <c:pt idx="6">
                  <c:v>5.7244299008176851</c:v>
                </c:pt>
                <c:pt idx="7">
                  <c:v>5.8532992247767801</c:v>
                </c:pt>
                <c:pt idx="8">
                  <c:v>5.9608237918248612</c:v>
                </c:pt>
                <c:pt idx="9">
                  <c:v>5.9702728835822505</c:v>
                </c:pt>
              </c:numCache>
            </c:numRef>
          </c:yVal>
          <c:smooth val="0"/>
          <c:extLst>
            <c:ext xmlns:c16="http://schemas.microsoft.com/office/drawing/2014/chart" uri="{C3380CC4-5D6E-409C-BE32-E72D297353CC}">
              <c16:uniqueId val="{00000001-EE09-4ACA-A6D8-77C0E967E066}"/>
            </c:ext>
          </c:extLst>
        </c:ser>
        <c:ser>
          <c:idx val="1"/>
          <c:order val="1"/>
          <c:tx>
            <c:v>Mätserie B: 1200 rpm</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3"/>
            <c:dispRSqr val="0"/>
            <c:dispEq val="0"/>
          </c:trendline>
          <c:xVal>
            <c:numRef>
              <c:f>Sheet1!$A$63:$A$72</c:f>
              <c:numCache>
                <c:formatCode>0.00</c:formatCode>
                <c:ptCount val="10"/>
                <c:pt idx="0">
                  <c:v>12.534631224260577</c:v>
                </c:pt>
                <c:pt idx="1">
                  <c:v>11.51084517576664</c:v>
                </c:pt>
                <c:pt idx="2">
                  <c:v>10.594170403587444</c:v>
                </c:pt>
                <c:pt idx="3">
                  <c:v>9.6446511627906961</c:v>
                </c:pt>
                <c:pt idx="4">
                  <c:v>8.7502328180294278</c:v>
                </c:pt>
                <c:pt idx="5">
                  <c:v>7.9396984924623117</c:v>
                </c:pt>
                <c:pt idx="6">
                  <c:v>7.0208023774145607</c:v>
                </c:pt>
                <c:pt idx="7">
                  <c:v>6.2068965517241379</c:v>
                </c:pt>
                <c:pt idx="8">
                  <c:v>5.3960029607697999</c:v>
                </c:pt>
                <c:pt idx="9">
                  <c:v>4.3853820598006648</c:v>
                </c:pt>
              </c:numCache>
            </c:numRef>
          </c:xVal>
          <c:yVal>
            <c:numRef>
              <c:f>Sheet1!$B$63:$B$72</c:f>
              <c:numCache>
                <c:formatCode>0.000</c:formatCode>
                <c:ptCount val="10"/>
                <c:pt idx="0">
                  <c:v>1.9663252036981085</c:v>
                </c:pt>
                <c:pt idx="1">
                  <c:v>2.2819476845032032</c:v>
                </c:pt>
                <c:pt idx="2">
                  <c:v>2.6178887948857783</c:v>
                </c:pt>
                <c:pt idx="3">
                  <c:v>2.9253697800234133</c:v>
                </c:pt>
                <c:pt idx="4">
                  <c:v>3.173213777684369</c:v>
                </c:pt>
                <c:pt idx="5">
                  <c:v>3.3238741172967523</c:v>
                </c:pt>
                <c:pt idx="6">
                  <c:v>3.4647597627201172</c:v>
                </c:pt>
                <c:pt idx="7">
                  <c:v>3.6122556188811572</c:v>
                </c:pt>
                <c:pt idx="8">
                  <c:v>3.6595532365987649</c:v>
                </c:pt>
                <c:pt idx="9">
                  <c:v>3.7809945534652827</c:v>
                </c:pt>
              </c:numCache>
            </c:numRef>
          </c:yVal>
          <c:smooth val="0"/>
          <c:extLst>
            <c:ext xmlns:c16="http://schemas.microsoft.com/office/drawing/2014/chart" uri="{C3380CC4-5D6E-409C-BE32-E72D297353CC}">
              <c16:uniqueId val="{00000003-EE09-4ACA-A6D8-77C0E967E066}"/>
            </c:ext>
          </c:extLst>
        </c:ser>
        <c:ser>
          <c:idx val="2"/>
          <c:order val="2"/>
          <c:tx>
            <c:v>Mätserie B: 1500 rpm</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3"/>
            <c:dispRSqr val="0"/>
            <c:dispEq val="0"/>
          </c:trendline>
          <c:xVal>
            <c:numRef>
              <c:f>Sheet1!$H$63:$H$72</c:f>
              <c:numCache>
                <c:formatCode>0.00</c:formatCode>
                <c:ptCount val="10"/>
                <c:pt idx="0">
                  <c:v>15.66828903032572</c:v>
                </c:pt>
                <c:pt idx="1">
                  <c:v>14.3885564697083</c:v>
                </c:pt>
                <c:pt idx="2">
                  <c:v>13.242713004484306</c:v>
                </c:pt>
                <c:pt idx="3">
                  <c:v>12.055813953488371</c:v>
                </c:pt>
                <c:pt idx="4">
                  <c:v>10.937791022536784</c:v>
                </c:pt>
                <c:pt idx="5">
                  <c:v>9.924623115577889</c:v>
                </c:pt>
                <c:pt idx="6">
                  <c:v>8.776002971768202</c:v>
                </c:pt>
                <c:pt idx="7">
                  <c:v>7.7586206896551717</c:v>
                </c:pt>
                <c:pt idx="8">
                  <c:v>6.7450037009622505</c:v>
                </c:pt>
                <c:pt idx="9">
                  <c:v>5.4817275747508312</c:v>
                </c:pt>
              </c:numCache>
            </c:numRef>
          </c:xVal>
          <c:yVal>
            <c:numRef>
              <c:f>Sheet1!$I$63:$I$72</c:f>
              <c:numCache>
                <c:formatCode>0.000</c:formatCode>
                <c:ptCount val="10"/>
                <c:pt idx="0">
                  <c:v>3.0723831307782952</c:v>
                </c:pt>
                <c:pt idx="1">
                  <c:v>3.5655432570362557</c:v>
                </c:pt>
                <c:pt idx="2">
                  <c:v>4.0904512420090295</c:v>
                </c:pt>
                <c:pt idx="3">
                  <c:v>4.5708902812865828</c:v>
                </c:pt>
                <c:pt idx="4">
                  <c:v>4.9581465276318264</c:v>
                </c:pt>
                <c:pt idx="5">
                  <c:v>5.1935533082761784</c:v>
                </c:pt>
                <c:pt idx="6">
                  <c:v>5.4136871292501807</c:v>
                </c:pt>
                <c:pt idx="7">
                  <c:v>5.6441494045018077</c:v>
                </c:pt>
                <c:pt idx="8">
                  <c:v>5.7180519321855678</c:v>
                </c:pt>
                <c:pt idx="9">
                  <c:v>5.9078039897895049</c:v>
                </c:pt>
              </c:numCache>
            </c:numRef>
          </c:yVal>
          <c:smooth val="0"/>
          <c:extLst>
            <c:ext xmlns:c16="http://schemas.microsoft.com/office/drawing/2014/chart" uri="{C3380CC4-5D6E-409C-BE32-E72D297353CC}">
              <c16:uniqueId val="{00000005-EE09-4ACA-A6D8-77C0E967E066}"/>
            </c:ext>
          </c:extLst>
        </c:ser>
        <c:ser>
          <c:idx val="3"/>
          <c:order val="3"/>
          <c:tx>
            <c:v>Maximal teoretisk uppfordringshöjd: 1200 rpm</c:v>
          </c:tx>
          <c:spPr>
            <a:ln w="25400" cap="rnd">
              <a:noFill/>
              <a:round/>
            </a:ln>
            <a:effectLst/>
          </c:spPr>
          <c:marker>
            <c:symbol val="circle"/>
            <c:size val="5"/>
            <c:spPr>
              <a:solidFill>
                <a:schemeClr val="accent4"/>
              </a:solidFill>
              <a:ln w="9525">
                <a:solidFill>
                  <a:schemeClr val="accent4"/>
                </a:solidFill>
              </a:ln>
              <a:effectLst/>
            </c:spPr>
          </c:marker>
          <c:trendline>
            <c:spPr>
              <a:ln w="19050" cap="rnd">
                <a:solidFill>
                  <a:schemeClr val="accent4"/>
                </a:solidFill>
                <a:prstDash val="sysDot"/>
              </a:ln>
              <a:effectLst/>
            </c:spPr>
            <c:trendlineType val="poly"/>
            <c:order val="3"/>
            <c:dispRSqr val="0"/>
            <c:dispEq val="0"/>
          </c:trendline>
          <c:xVal>
            <c:numRef>
              <c:f>Sheet1!$H$50:$H$57</c:f>
              <c:numCache>
                <c:formatCode>General</c:formatCode>
                <c:ptCount val="8"/>
                <c:pt idx="0">
                  <c:v>0</c:v>
                </c:pt>
                <c:pt idx="1">
                  <c:v>2</c:v>
                </c:pt>
                <c:pt idx="2">
                  <c:v>4</c:v>
                </c:pt>
                <c:pt idx="3">
                  <c:v>6</c:v>
                </c:pt>
                <c:pt idx="4">
                  <c:v>8</c:v>
                </c:pt>
                <c:pt idx="5">
                  <c:v>10</c:v>
                </c:pt>
                <c:pt idx="6">
                  <c:v>12</c:v>
                </c:pt>
                <c:pt idx="7">
                  <c:v>14</c:v>
                </c:pt>
              </c:numCache>
            </c:numRef>
          </c:xVal>
          <c:yVal>
            <c:numRef>
              <c:f>Sheet1!$L$50:$L$57</c:f>
              <c:numCache>
                <c:formatCode>0.000</c:formatCode>
                <c:ptCount val="8"/>
                <c:pt idx="0">
                  <c:v>7.5642459066536194</c:v>
                </c:pt>
                <c:pt idx="1">
                  <c:v>7.2973299465733215</c:v>
                </c:pt>
                <c:pt idx="2">
                  <c:v>7.03041398649302</c:v>
                </c:pt>
                <c:pt idx="3">
                  <c:v>6.7634980264127211</c:v>
                </c:pt>
                <c:pt idx="4">
                  <c:v>6.4965820663324214</c:v>
                </c:pt>
                <c:pt idx="5">
                  <c:v>6.2296661062521217</c:v>
                </c:pt>
                <c:pt idx="6">
                  <c:v>5.9627501461718229</c:v>
                </c:pt>
                <c:pt idx="7">
                  <c:v>5.6958341860915231</c:v>
                </c:pt>
              </c:numCache>
            </c:numRef>
          </c:yVal>
          <c:smooth val="0"/>
          <c:extLst>
            <c:ext xmlns:c16="http://schemas.microsoft.com/office/drawing/2014/chart" uri="{C3380CC4-5D6E-409C-BE32-E72D297353CC}">
              <c16:uniqueId val="{00000003-212C-47D1-B91E-A5E44B8BB10F}"/>
            </c:ext>
          </c:extLst>
        </c:ser>
        <c:dLbls>
          <c:showLegendKey val="0"/>
          <c:showVal val="0"/>
          <c:showCatName val="0"/>
          <c:showSerName val="0"/>
          <c:showPercent val="0"/>
          <c:showBubbleSize val="0"/>
        </c:dLbls>
        <c:axId val="110715088"/>
        <c:axId val="147493136"/>
      </c:scatterChart>
      <c:valAx>
        <c:axId val="1107150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Flöde (m3/h)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47493136"/>
        <c:crosses val="autoZero"/>
        <c:crossBetween val="midCat"/>
      </c:valAx>
      <c:valAx>
        <c:axId val="147493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Uppfodringshöjd (m)</a:t>
                </a:r>
                <a:endParaRPr lang="sv-SE" baseline="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10715088"/>
        <c:crosses val="autoZero"/>
        <c:crossBetween val="midCat"/>
      </c:valAx>
      <c:spPr>
        <a:noFill/>
        <a:ln>
          <a:noFill/>
        </a:ln>
        <a:effectLst/>
      </c:spPr>
    </c:plotArea>
    <c:legend>
      <c:legendPos val="r"/>
      <c:layout>
        <c:manualLayout>
          <c:xMode val="edge"/>
          <c:yMode val="edge"/>
          <c:x val="0.71274053861789655"/>
          <c:y val="0.10811445399916456"/>
          <c:w val="0.28725953312603214"/>
          <c:h val="0.601075889822025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v-SE"/>
              <a:t>Axeleffekt som funktion av flöde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scatterChart>
        <c:scatterStyle val="lineMarker"/>
        <c:varyColors val="0"/>
        <c:ser>
          <c:idx val="0"/>
          <c:order val="0"/>
          <c:tx>
            <c:v>Mätserie A: 1500 rpm</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dispRSqr val="0"/>
            <c:dispEq val="0"/>
          </c:trendline>
          <c:xVal>
            <c:numRef>
              <c:f>Sheet1!$A$48:$A$57</c:f>
              <c:numCache>
                <c:formatCode>0.00</c:formatCode>
                <c:ptCount val="10"/>
                <c:pt idx="0">
                  <c:v>15.815560228296786</c:v>
                </c:pt>
                <c:pt idx="1">
                  <c:v>14.178544636159041</c:v>
                </c:pt>
                <c:pt idx="2">
                  <c:v>13.150007492881763</c:v>
                </c:pt>
                <c:pt idx="3">
                  <c:v>11.932584269662922</c:v>
                </c:pt>
                <c:pt idx="4">
                  <c:v>9.5737533592117057</c:v>
                </c:pt>
                <c:pt idx="5">
                  <c:v>8.1337399583457319</c:v>
                </c:pt>
                <c:pt idx="6">
                  <c:v>7.2171072171072179</c:v>
                </c:pt>
                <c:pt idx="7">
                  <c:v>6.403794841387489</c:v>
                </c:pt>
                <c:pt idx="8">
                  <c:v>5.4886162034299231</c:v>
                </c:pt>
                <c:pt idx="9">
                  <c:v>4.7759433962264151</c:v>
                </c:pt>
              </c:numCache>
            </c:numRef>
          </c:xVal>
          <c:yVal>
            <c:numRef>
              <c:f>Sheet1!$D$48:$D$57</c:f>
              <c:numCache>
                <c:formatCode>0.00</c:formatCode>
                <c:ptCount val="10"/>
                <c:pt idx="0">
                  <c:v>325.5026188121559</c:v>
                </c:pt>
                <c:pt idx="1">
                  <c:v>324.3940953389249</c:v>
                </c:pt>
                <c:pt idx="2">
                  <c:v>318.95124444332646</c:v>
                </c:pt>
                <c:pt idx="3">
                  <c:v>313.67354324683527</c:v>
                </c:pt>
                <c:pt idx="4">
                  <c:v>293.84198306473814</c:v>
                </c:pt>
                <c:pt idx="5">
                  <c:v>277.11831025686899</c:v>
                </c:pt>
                <c:pt idx="6">
                  <c:v>266.55231576139278</c:v>
                </c:pt>
                <c:pt idx="7">
                  <c:v>256.47468875912216</c:v>
                </c:pt>
                <c:pt idx="8">
                  <c:v>243.55302267781741</c:v>
                </c:pt>
                <c:pt idx="9">
                  <c:v>229.80795526139289</c:v>
                </c:pt>
              </c:numCache>
            </c:numRef>
          </c:yVal>
          <c:smooth val="0"/>
          <c:extLst>
            <c:ext xmlns:c16="http://schemas.microsoft.com/office/drawing/2014/chart" uri="{C3380CC4-5D6E-409C-BE32-E72D297353CC}">
              <c16:uniqueId val="{00000001-C010-446E-B56C-08F19FA9332B}"/>
            </c:ext>
          </c:extLst>
        </c:ser>
        <c:ser>
          <c:idx val="1"/>
          <c:order val="1"/>
          <c:tx>
            <c:v>Mätserie B: 1200 rpm</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3"/>
            <c:dispRSqr val="0"/>
            <c:dispEq val="0"/>
          </c:trendline>
          <c:xVal>
            <c:numRef>
              <c:f>Sheet1!$A$63:$A$72</c:f>
              <c:numCache>
                <c:formatCode>0.00</c:formatCode>
                <c:ptCount val="10"/>
                <c:pt idx="0">
                  <c:v>12.534631224260577</c:v>
                </c:pt>
                <c:pt idx="1">
                  <c:v>11.51084517576664</c:v>
                </c:pt>
                <c:pt idx="2">
                  <c:v>10.594170403587444</c:v>
                </c:pt>
                <c:pt idx="3">
                  <c:v>9.6446511627906961</c:v>
                </c:pt>
                <c:pt idx="4">
                  <c:v>8.7502328180294278</c:v>
                </c:pt>
                <c:pt idx="5">
                  <c:v>7.9396984924623117</c:v>
                </c:pt>
                <c:pt idx="6">
                  <c:v>7.0208023774145607</c:v>
                </c:pt>
                <c:pt idx="7">
                  <c:v>6.2068965517241379</c:v>
                </c:pt>
                <c:pt idx="8">
                  <c:v>5.3960029607697999</c:v>
                </c:pt>
                <c:pt idx="9">
                  <c:v>4.3853820598006648</c:v>
                </c:pt>
              </c:numCache>
            </c:numRef>
          </c:xVal>
          <c:yVal>
            <c:numRef>
              <c:f>Sheet1!$D$63:$D$72</c:f>
              <c:numCache>
                <c:formatCode>0.00</c:formatCode>
                <c:ptCount val="10"/>
                <c:pt idx="0">
                  <c:v>189.75749155312877</c:v>
                </c:pt>
                <c:pt idx="1">
                  <c:v>187.64148313595405</c:v>
                </c:pt>
                <c:pt idx="2">
                  <c:v>183.98523159738065</c:v>
                </c:pt>
                <c:pt idx="3">
                  <c:v>178.39757347520501</c:v>
                </c:pt>
                <c:pt idx="4">
                  <c:v>176.11289918584961</c:v>
                </c:pt>
                <c:pt idx="5">
                  <c:v>170.82646976357563</c:v>
                </c:pt>
                <c:pt idx="6">
                  <c:v>166.79328912570776</c:v>
                </c:pt>
                <c:pt idx="7">
                  <c:v>160.525457955365</c:v>
                </c:pt>
                <c:pt idx="8">
                  <c:v>152.64722575471987</c:v>
                </c:pt>
                <c:pt idx="9">
                  <c:v>144.94169844933728</c:v>
                </c:pt>
              </c:numCache>
            </c:numRef>
          </c:yVal>
          <c:smooth val="0"/>
          <c:extLst>
            <c:ext xmlns:c16="http://schemas.microsoft.com/office/drawing/2014/chart" uri="{C3380CC4-5D6E-409C-BE32-E72D297353CC}">
              <c16:uniqueId val="{00000003-C010-446E-B56C-08F19FA9332B}"/>
            </c:ext>
          </c:extLst>
        </c:ser>
        <c:ser>
          <c:idx val="2"/>
          <c:order val="2"/>
          <c:tx>
            <c:v>Mätserie B: 1500 rpm</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3"/>
            <c:dispRSqr val="0"/>
            <c:dispEq val="0"/>
          </c:trendline>
          <c:xVal>
            <c:numRef>
              <c:f>Sheet1!$H$63:$H$72</c:f>
              <c:numCache>
                <c:formatCode>0.00</c:formatCode>
                <c:ptCount val="10"/>
                <c:pt idx="0">
                  <c:v>15.66828903032572</c:v>
                </c:pt>
                <c:pt idx="1">
                  <c:v>14.3885564697083</c:v>
                </c:pt>
                <c:pt idx="2">
                  <c:v>13.242713004484306</c:v>
                </c:pt>
                <c:pt idx="3">
                  <c:v>12.055813953488371</c:v>
                </c:pt>
                <c:pt idx="4">
                  <c:v>10.937791022536784</c:v>
                </c:pt>
                <c:pt idx="5">
                  <c:v>9.924623115577889</c:v>
                </c:pt>
                <c:pt idx="6">
                  <c:v>8.776002971768202</c:v>
                </c:pt>
                <c:pt idx="7">
                  <c:v>7.7586206896551717</c:v>
                </c:pt>
                <c:pt idx="8">
                  <c:v>6.7450037009622505</c:v>
                </c:pt>
                <c:pt idx="9">
                  <c:v>5.4817275747508312</c:v>
                </c:pt>
              </c:numCache>
            </c:numRef>
          </c:xVal>
          <c:yVal>
            <c:numRef>
              <c:f>Sheet1!$K$63:$K$72</c:f>
              <c:numCache>
                <c:formatCode>0.00</c:formatCode>
                <c:ptCount val="10"/>
                <c:pt idx="0">
                  <c:v>370.62010068970471</c:v>
                </c:pt>
                <c:pt idx="1">
                  <c:v>366.48727174991035</c:v>
                </c:pt>
                <c:pt idx="2">
                  <c:v>359.3461554636342</c:v>
                </c:pt>
                <c:pt idx="3">
                  <c:v>348.43276069375975</c:v>
                </c:pt>
                <c:pt idx="4">
                  <c:v>343.97050622236247</c:v>
                </c:pt>
                <c:pt idx="5">
                  <c:v>333.64544875698391</c:v>
                </c:pt>
                <c:pt idx="6">
                  <c:v>325.76814282364779</c:v>
                </c:pt>
                <c:pt idx="7">
                  <c:v>313.52628506907223</c:v>
                </c:pt>
                <c:pt idx="8">
                  <c:v>298.13911280218713</c:v>
                </c:pt>
                <c:pt idx="9">
                  <c:v>283.08925478386192</c:v>
                </c:pt>
              </c:numCache>
            </c:numRef>
          </c:yVal>
          <c:smooth val="0"/>
          <c:extLst>
            <c:ext xmlns:c16="http://schemas.microsoft.com/office/drawing/2014/chart" uri="{C3380CC4-5D6E-409C-BE32-E72D297353CC}">
              <c16:uniqueId val="{00000005-C010-446E-B56C-08F19FA9332B}"/>
            </c:ext>
          </c:extLst>
        </c:ser>
        <c:dLbls>
          <c:showLegendKey val="0"/>
          <c:showVal val="0"/>
          <c:showCatName val="0"/>
          <c:showSerName val="0"/>
          <c:showPercent val="0"/>
          <c:showBubbleSize val="0"/>
        </c:dLbls>
        <c:axId val="110715088"/>
        <c:axId val="147493136"/>
      </c:scatterChart>
      <c:valAx>
        <c:axId val="1107150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Flöde (m3/h)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47493136"/>
        <c:crosses val="autoZero"/>
        <c:crossBetween val="midCat"/>
      </c:valAx>
      <c:valAx>
        <c:axId val="147493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Axeleffekt</a:t>
                </a:r>
                <a:r>
                  <a:rPr lang="sv-SE" baseline="0"/>
                  <a:t> (W)</a:t>
                </a:r>
                <a:endParaRPr lang="sv-S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10715088"/>
        <c:crosses val="autoZero"/>
        <c:crossBetween val="midCat"/>
      </c:valAx>
      <c:spPr>
        <a:noFill/>
        <a:ln>
          <a:noFill/>
        </a:ln>
        <a:effectLst/>
      </c:spPr>
    </c:plotArea>
    <c:legend>
      <c:legendPos val="r"/>
      <c:layout>
        <c:manualLayout>
          <c:xMode val="edge"/>
          <c:yMode val="edge"/>
          <c:x val="0.75016733789749801"/>
          <c:y val="0.10811445399916457"/>
          <c:w val="0.23193288853399704"/>
          <c:h val="0.292560999693306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v-SE"/>
              <a:t>Uppfodringshöjd</a:t>
            </a:r>
            <a:r>
              <a:rPr lang="sv-SE" baseline="0"/>
              <a:t> som funktion av flöde</a:t>
            </a:r>
          </a:p>
        </c:rich>
      </c:tx>
      <c:layout>
        <c:manualLayout>
          <c:xMode val="edge"/>
          <c:yMode val="edge"/>
          <c:x val="0.1892639982502187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scatterChart>
        <c:scatterStyle val="lineMarker"/>
        <c:varyColors val="0"/>
        <c:ser>
          <c:idx val="0"/>
          <c:order val="0"/>
          <c:tx>
            <c:v>Mätserie A: 1500rpm</c:v>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dispRSqr val="0"/>
            <c:dispEq val="0"/>
          </c:trendline>
          <c:xVal>
            <c:numRef>
              <c:f>Sheet1!$A$48:$A$57</c:f>
              <c:numCache>
                <c:formatCode>0.00</c:formatCode>
                <c:ptCount val="10"/>
                <c:pt idx="0">
                  <c:v>15.815560228296786</c:v>
                </c:pt>
                <c:pt idx="1">
                  <c:v>14.178544636159041</c:v>
                </c:pt>
                <c:pt idx="2">
                  <c:v>13.150007492881763</c:v>
                </c:pt>
                <c:pt idx="3">
                  <c:v>11.932584269662922</c:v>
                </c:pt>
                <c:pt idx="4">
                  <c:v>9.5737533592117057</c:v>
                </c:pt>
                <c:pt idx="5">
                  <c:v>8.1337399583457319</c:v>
                </c:pt>
                <c:pt idx="6">
                  <c:v>7.2171072171072179</c:v>
                </c:pt>
                <c:pt idx="7">
                  <c:v>6.403794841387489</c:v>
                </c:pt>
                <c:pt idx="8">
                  <c:v>5.4886162034299231</c:v>
                </c:pt>
                <c:pt idx="9">
                  <c:v>4.7759433962264151</c:v>
                </c:pt>
              </c:numCache>
            </c:numRef>
          </c:xVal>
          <c:yVal>
            <c:numRef>
              <c:f>Sheet1!$B$48:$B$57</c:f>
              <c:numCache>
                <c:formatCode>0.000</c:formatCode>
                <c:ptCount val="10"/>
                <c:pt idx="0">
                  <c:v>2.752586225315953</c:v>
                </c:pt>
                <c:pt idx="1">
                  <c:v>3.7107374428527651</c:v>
                </c:pt>
                <c:pt idx="2">
                  <c:v>4.1201278686292948</c:v>
                </c:pt>
                <c:pt idx="3">
                  <c:v>4.51365439221071</c:v>
                </c:pt>
                <c:pt idx="4">
                  <c:v>5.2208162566808838</c:v>
                </c:pt>
                <c:pt idx="5">
                  <c:v>5.590884473480398</c:v>
                </c:pt>
                <c:pt idx="6">
                  <c:v>5.7244299008176851</c:v>
                </c:pt>
                <c:pt idx="7">
                  <c:v>5.8532992247767801</c:v>
                </c:pt>
                <c:pt idx="8">
                  <c:v>5.9608237918248612</c:v>
                </c:pt>
                <c:pt idx="9">
                  <c:v>5.9702728835822505</c:v>
                </c:pt>
              </c:numCache>
            </c:numRef>
          </c:yVal>
          <c:smooth val="0"/>
          <c:extLst>
            <c:ext xmlns:c16="http://schemas.microsoft.com/office/drawing/2014/chart" uri="{C3380CC4-5D6E-409C-BE32-E72D297353CC}">
              <c16:uniqueId val="{00000000-C57E-4F39-8687-4FD31864D4AE}"/>
            </c:ext>
          </c:extLst>
        </c:ser>
        <c:ser>
          <c:idx val="1"/>
          <c:order val="1"/>
          <c:tx>
            <c:v>Mätserie B: 1200rpm</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3"/>
            <c:dispRSqr val="0"/>
            <c:dispEq val="0"/>
          </c:trendline>
          <c:xVal>
            <c:numRef>
              <c:f>Sheet1!$A$63:$A$72</c:f>
              <c:numCache>
                <c:formatCode>0.00</c:formatCode>
                <c:ptCount val="10"/>
                <c:pt idx="0">
                  <c:v>12.534631224260577</c:v>
                </c:pt>
                <c:pt idx="1">
                  <c:v>11.51084517576664</c:v>
                </c:pt>
                <c:pt idx="2">
                  <c:v>10.594170403587444</c:v>
                </c:pt>
                <c:pt idx="3">
                  <c:v>9.6446511627906961</c:v>
                </c:pt>
                <c:pt idx="4">
                  <c:v>8.7502328180294278</c:v>
                </c:pt>
                <c:pt idx="5">
                  <c:v>7.9396984924623117</c:v>
                </c:pt>
                <c:pt idx="6">
                  <c:v>7.0208023774145607</c:v>
                </c:pt>
                <c:pt idx="7">
                  <c:v>6.2068965517241379</c:v>
                </c:pt>
                <c:pt idx="8">
                  <c:v>5.3960029607697999</c:v>
                </c:pt>
                <c:pt idx="9">
                  <c:v>4.3853820598006648</c:v>
                </c:pt>
              </c:numCache>
            </c:numRef>
          </c:xVal>
          <c:yVal>
            <c:numRef>
              <c:f>Sheet1!$B$63:$B$71</c:f>
              <c:numCache>
                <c:formatCode>0.000</c:formatCode>
                <c:ptCount val="9"/>
                <c:pt idx="0">
                  <c:v>1.9663252036981085</c:v>
                </c:pt>
                <c:pt idx="1">
                  <c:v>2.2819476845032032</c:v>
                </c:pt>
                <c:pt idx="2">
                  <c:v>2.6178887948857783</c:v>
                </c:pt>
                <c:pt idx="3">
                  <c:v>2.9253697800234133</c:v>
                </c:pt>
                <c:pt idx="4">
                  <c:v>3.173213777684369</c:v>
                </c:pt>
                <c:pt idx="5">
                  <c:v>3.3238741172967523</c:v>
                </c:pt>
                <c:pt idx="6">
                  <c:v>3.4647597627201172</c:v>
                </c:pt>
                <c:pt idx="7">
                  <c:v>3.6122556188811572</c:v>
                </c:pt>
                <c:pt idx="8">
                  <c:v>3.6595532365987649</c:v>
                </c:pt>
              </c:numCache>
            </c:numRef>
          </c:yVal>
          <c:smooth val="0"/>
          <c:extLst>
            <c:ext xmlns:c16="http://schemas.microsoft.com/office/drawing/2014/chart" uri="{C3380CC4-5D6E-409C-BE32-E72D297353CC}">
              <c16:uniqueId val="{00000002-C57E-4F39-8687-4FD31864D4AE}"/>
            </c:ext>
          </c:extLst>
        </c:ser>
        <c:ser>
          <c:idx val="2"/>
          <c:order val="2"/>
          <c:tx>
            <c:v>Systemkurva: fiktiv</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3"/>
            <c:dispRSqr val="0"/>
            <c:dispEq val="0"/>
          </c:trendline>
          <c:xVal>
            <c:numRef>
              <c:f>Sheet1!$A$84:$A$98</c:f>
              <c:numCache>
                <c:formatCode>General</c:formatCode>
                <c:ptCount val="15"/>
                <c:pt idx="0">
                  <c:v>0.01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numCache>
            </c:numRef>
          </c:xVal>
          <c:yVal>
            <c:numRef>
              <c:f>Sheet1!$H$84:$H$98</c:f>
              <c:numCache>
                <c:formatCode>0.000</c:formatCode>
                <c:ptCount val="15"/>
                <c:pt idx="0" formatCode="0.0000000">
                  <c:v>2.0000423792963899</c:v>
                </c:pt>
                <c:pt idx="1">
                  <c:v>2.0237947509139773</c:v>
                </c:pt>
                <c:pt idx="2">
                  <c:v>2.0858097265149258</c:v>
                </c:pt>
                <c:pt idx="3">
                  <c:v>2.1840119715313184</c:v>
                </c:pt>
                <c:pt idx="4">
                  <c:v>2.317812622346819</c:v>
                </c:pt>
                <c:pt idx="5">
                  <c:v>2.4869264622669736</c:v>
                </c:pt>
                <c:pt idx="6">
                  <c:v>2.6911881543690566</c:v>
                </c:pt>
                <c:pt idx="7">
                  <c:v>2.9304913606625691</c:v>
                </c:pt>
                <c:pt idx="8">
                  <c:v>3.204762753429935</c:v>
                </c:pt>
                <c:pt idx="9">
                  <c:v>3.5139491438770154</c:v>
                </c:pt>
                <c:pt idx="10">
                  <c:v>3.8580104312922283</c:v>
                </c:pt>
                <c:pt idx="11">
                  <c:v>4.2369154441405161</c:v>
                </c:pt>
                <c:pt idx="12">
                  <c:v>4.6506393428970156</c:v>
                </c:pt>
                <c:pt idx="13">
                  <c:v>5.099161922488074</c:v>
                </c:pt>
                <c:pt idx="14">
                  <c:v>5.5824664604434719</c:v>
                </c:pt>
              </c:numCache>
            </c:numRef>
          </c:yVal>
          <c:smooth val="0"/>
          <c:extLst>
            <c:ext xmlns:c16="http://schemas.microsoft.com/office/drawing/2014/chart" uri="{C3380CC4-5D6E-409C-BE32-E72D297353CC}">
              <c16:uniqueId val="{00000003-C57E-4F39-8687-4FD31864D4AE}"/>
            </c:ext>
          </c:extLst>
        </c:ser>
        <c:ser>
          <c:idx val="3"/>
          <c:order val="3"/>
          <c:tx>
            <c:v>Likformskurva</c:v>
          </c:tx>
          <c:spPr>
            <a:ln w="25400" cap="rnd">
              <a:noFill/>
              <a:round/>
            </a:ln>
            <a:effectLst/>
          </c:spPr>
          <c:marker>
            <c:symbol val="circle"/>
            <c:size val="5"/>
            <c:spPr>
              <a:solidFill>
                <a:schemeClr val="accent4"/>
              </a:solidFill>
              <a:ln w="9525">
                <a:solidFill>
                  <a:schemeClr val="accent4"/>
                </a:solidFill>
              </a:ln>
              <a:effectLst/>
            </c:spPr>
          </c:marker>
          <c:trendline>
            <c:spPr>
              <a:ln w="19050" cap="rnd">
                <a:solidFill>
                  <a:schemeClr val="accent4"/>
                </a:solidFill>
                <a:prstDash val="sysDot"/>
              </a:ln>
              <a:effectLst/>
            </c:spPr>
            <c:trendlineType val="poly"/>
            <c:order val="3"/>
            <c:dispRSqr val="0"/>
            <c:dispEq val="0"/>
          </c:trendline>
          <c:xVal>
            <c:numRef>
              <c:f>Sheet1!$A$84:$A$98</c:f>
              <c:numCache>
                <c:formatCode>General</c:formatCode>
                <c:ptCount val="15"/>
                <c:pt idx="0">
                  <c:v>0.01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numCache>
            </c:numRef>
          </c:xVal>
          <c:yVal>
            <c:numRef>
              <c:f>Sheet1!$I$84:$I$98</c:f>
              <c:numCache>
                <c:formatCode>0.0000</c:formatCode>
                <c:ptCount val="15"/>
                <c:pt idx="0" formatCode="0.00000000">
                  <c:v>3.8580104312922285E-6</c:v>
                </c:pt>
                <c:pt idx="1">
                  <c:v>3.8580104312922282E-2</c:v>
                </c:pt>
                <c:pt idx="2" formatCode="0.000">
                  <c:v>0.15432041725168913</c:v>
                </c:pt>
                <c:pt idx="3" formatCode="0.000">
                  <c:v>0.34722093881630056</c:v>
                </c:pt>
                <c:pt idx="4" formatCode="0.000">
                  <c:v>0.61728166900675652</c:v>
                </c:pt>
                <c:pt idx="5" formatCode="0.000">
                  <c:v>0.96450260782305708</c:v>
                </c:pt>
                <c:pt idx="6" formatCode="0.000">
                  <c:v>1.3888837552652022</c:v>
                </c:pt>
                <c:pt idx="7" formatCode="0.000">
                  <c:v>1.8904251113331918</c:v>
                </c:pt>
                <c:pt idx="8" formatCode="0.000">
                  <c:v>2.4691266760270261</c:v>
                </c:pt>
                <c:pt idx="9" formatCode="0.000">
                  <c:v>3.1249884493467048</c:v>
                </c:pt>
                <c:pt idx="10" formatCode="0.000">
                  <c:v>3.8580104312922283</c:v>
                </c:pt>
                <c:pt idx="11" formatCode="0.000">
                  <c:v>4.6681926218635965</c:v>
                </c:pt>
                <c:pt idx="12" formatCode="0.000">
                  <c:v>5.555535021060809</c:v>
                </c:pt>
                <c:pt idx="13" formatCode="0.000">
                  <c:v>6.5200376288838653</c:v>
                </c:pt>
                <c:pt idx="14" formatCode="0.000">
                  <c:v>7.5617004453327672</c:v>
                </c:pt>
              </c:numCache>
            </c:numRef>
          </c:yVal>
          <c:smooth val="0"/>
          <c:extLst>
            <c:ext xmlns:c16="http://schemas.microsoft.com/office/drawing/2014/chart" uri="{C3380CC4-5D6E-409C-BE32-E72D297353CC}">
              <c16:uniqueId val="{00000004-C57E-4F39-8687-4FD31864D4AE}"/>
            </c:ext>
          </c:extLst>
        </c:ser>
        <c:dLbls>
          <c:showLegendKey val="0"/>
          <c:showVal val="0"/>
          <c:showCatName val="0"/>
          <c:showSerName val="0"/>
          <c:showPercent val="0"/>
          <c:showBubbleSize val="0"/>
        </c:dLbls>
        <c:axId val="683165232"/>
        <c:axId val="683174832"/>
      </c:scatterChart>
      <c:valAx>
        <c:axId val="68316523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83174832"/>
        <c:crosses val="autoZero"/>
        <c:crossBetween val="midCat"/>
      </c:valAx>
      <c:valAx>
        <c:axId val="683174832"/>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831652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v-SE" sz="1400" b="0" i="0" u="none" strike="noStrike" kern="1200" spc="0" baseline="0">
                <a:solidFill>
                  <a:sysClr val="windowText" lastClr="000000">
                    <a:lumMod val="65000"/>
                    <a:lumOff val="35000"/>
                  </a:sysClr>
                </a:solidFill>
              </a:rPr>
              <a:t>Uppfodringshöjd som funktion av flöde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manualLayout>
          <c:layoutTarget val="inner"/>
          <c:xMode val="edge"/>
          <c:yMode val="edge"/>
          <c:x val="0.10092825896762905"/>
          <c:y val="0.16708333333333336"/>
          <c:w val="0.84284251968503932"/>
          <c:h val="0.72088764946048411"/>
        </c:manualLayout>
      </c:layout>
      <c:scatterChart>
        <c:scatterStyle val="lineMarker"/>
        <c:varyColors val="0"/>
        <c:ser>
          <c:idx val="0"/>
          <c:order val="0"/>
          <c:tx>
            <c:v>Mätserie A: 1500rpm</c:v>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dispRSqr val="0"/>
            <c:dispEq val="0"/>
          </c:trendline>
          <c:xVal>
            <c:numRef>
              <c:f>Sheet1!$A$48:$A$57</c:f>
              <c:numCache>
                <c:formatCode>0.00</c:formatCode>
                <c:ptCount val="10"/>
                <c:pt idx="0">
                  <c:v>15.815560228296786</c:v>
                </c:pt>
                <c:pt idx="1">
                  <c:v>14.178544636159041</c:v>
                </c:pt>
                <c:pt idx="2">
                  <c:v>13.150007492881763</c:v>
                </c:pt>
                <c:pt idx="3">
                  <c:v>11.932584269662922</c:v>
                </c:pt>
                <c:pt idx="4">
                  <c:v>9.5737533592117057</c:v>
                </c:pt>
                <c:pt idx="5">
                  <c:v>8.1337399583457319</c:v>
                </c:pt>
                <c:pt idx="6">
                  <c:v>7.2171072171072179</c:v>
                </c:pt>
                <c:pt idx="7">
                  <c:v>6.403794841387489</c:v>
                </c:pt>
                <c:pt idx="8">
                  <c:v>5.4886162034299231</c:v>
                </c:pt>
                <c:pt idx="9">
                  <c:v>4.7759433962264151</c:v>
                </c:pt>
              </c:numCache>
            </c:numRef>
          </c:xVal>
          <c:yVal>
            <c:numRef>
              <c:f>Sheet1!$B$48:$B$57</c:f>
              <c:numCache>
                <c:formatCode>0.000</c:formatCode>
                <c:ptCount val="10"/>
                <c:pt idx="0">
                  <c:v>2.752586225315953</c:v>
                </c:pt>
                <c:pt idx="1">
                  <c:v>3.7107374428527651</c:v>
                </c:pt>
                <c:pt idx="2">
                  <c:v>4.1201278686292948</c:v>
                </c:pt>
                <c:pt idx="3">
                  <c:v>4.51365439221071</c:v>
                </c:pt>
                <c:pt idx="4">
                  <c:v>5.2208162566808838</c:v>
                </c:pt>
                <c:pt idx="5">
                  <c:v>5.590884473480398</c:v>
                </c:pt>
                <c:pt idx="6">
                  <c:v>5.7244299008176851</c:v>
                </c:pt>
                <c:pt idx="7">
                  <c:v>5.8532992247767801</c:v>
                </c:pt>
                <c:pt idx="8">
                  <c:v>5.9608237918248612</c:v>
                </c:pt>
                <c:pt idx="9">
                  <c:v>5.9702728835822505</c:v>
                </c:pt>
              </c:numCache>
            </c:numRef>
          </c:yVal>
          <c:smooth val="0"/>
          <c:extLst>
            <c:ext xmlns:c16="http://schemas.microsoft.com/office/drawing/2014/chart" uri="{C3380CC4-5D6E-409C-BE32-E72D297353CC}">
              <c16:uniqueId val="{00000001-2E00-4800-8369-F172F8755577}"/>
            </c:ext>
          </c:extLst>
        </c:ser>
        <c:ser>
          <c:idx val="1"/>
          <c:order val="1"/>
          <c:tx>
            <c:v>Mätserie B: 1200rpm</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3"/>
            <c:dispRSqr val="0"/>
            <c:dispEq val="0"/>
          </c:trendline>
          <c:xVal>
            <c:numRef>
              <c:f>Sheet1!$A$63:$A$72</c:f>
              <c:numCache>
                <c:formatCode>0.00</c:formatCode>
                <c:ptCount val="10"/>
                <c:pt idx="0">
                  <c:v>12.534631224260577</c:v>
                </c:pt>
                <c:pt idx="1">
                  <c:v>11.51084517576664</c:v>
                </c:pt>
                <c:pt idx="2">
                  <c:v>10.594170403587444</c:v>
                </c:pt>
                <c:pt idx="3">
                  <c:v>9.6446511627906961</c:v>
                </c:pt>
                <c:pt idx="4">
                  <c:v>8.7502328180294278</c:v>
                </c:pt>
                <c:pt idx="5">
                  <c:v>7.9396984924623117</c:v>
                </c:pt>
                <c:pt idx="6">
                  <c:v>7.0208023774145607</c:v>
                </c:pt>
                <c:pt idx="7">
                  <c:v>6.2068965517241379</c:v>
                </c:pt>
                <c:pt idx="8">
                  <c:v>5.3960029607697999</c:v>
                </c:pt>
                <c:pt idx="9">
                  <c:v>4.3853820598006648</c:v>
                </c:pt>
              </c:numCache>
            </c:numRef>
          </c:xVal>
          <c:yVal>
            <c:numRef>
              <c:f>Sheet1!$B$63:$B$71</c:f>
              <c:numCache>
                <c:formatCode>0.000</c:formatCode>
                <c:ptCount val="9"/>
                <c:pt idx="0">
                  <c:v>1.9663252036981085</c:v>
                </c:pt>
                <c:pt idx="1">
                  <c:v>2.2819476845032032</c:v>
                </c:pt>
                <c:pt idx="2">
                  <c:v>2.6178887948857783</c:v>
                </c:pt>
                <c:pt idx="3">
                  <c:v>2.9253697800234133</c:v>
                </c:pt>
                <c:pt idx="4">
                  <c:v>3.173213777684369</c:v>
                </c:pt>
                <c:pt idx="5">
                  <c:v>3.3238741172967523</c:v>
                </c:pt>
                <c:pt idx="6">
                  <c:v>3.4647597627201172</c:v>
                </c:pt>
                <c:pt idx="7">
                  <c:v>3.6122556188811572</c:v>
                </c:pt>
                <c:pt idx="8">
                  <c:v>3.6595532365987649</c:v>
                </c:pt>
              </c:numCache>
            </c:numRef>
          </c:yVal>
          <c:smooth val="0"/>
          <c:extLst>
            <c:ext xmlns:c16="http://schemas.microsoft.com/office/drawing/2014/chart" uri="{C3380CC4-5D6E-409C-BE32-E72D297353CC}">
              <c16:uniqueId val="{00000003-2E00-4800-8369-F172F8755577}"/>
            </c:ext>
          </c:extLst>
        </c:ser>
        <c:ser>
          <c:idx val="2"/>
          <c:order val="2"/>
          <c:tx>
            <c:v>Systemkurva: fiktiv</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3"/>
            <c:dispRSqr val="0"/>
            <c:dispEq val="0"/>
          </c:trendline>
          <c:xVal>
            <c:numRef>
              <c:f>Sheet1!$A$84:$A$98</c:f>
              <c:numCache>
                <c:formatCode>General</c:formatCode>
                <c:ptCount val="15"/>
                <c:pt idx="0">
                  <c:v>0.01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numCache>
            </c:numRef>
          </c:xVal>
          <c:yVal>
            <c:numRef>
              <c:f>Sheet1!$H$84:$H$98</c:f>
              <c:numCache>
                <c:formatCode>0.000</c:formatCode>
                <c:ptCount val="15"/>
                <c:pt idx="0" formatCode="0.0000000">
                  <c:v>2.0000423792963899</c:v>
                </c:pt>
                <c:pt idx="1">
                  <c:v>2.0237947509139773</c:v>
                </c:pt>
                <c:pt idx="2">
                  <c:v>2.0858097265149258</c:v>
                </c:pt>
                <c:pt idx="3">
                  <c:v>2.1840119715313184</c:v>
                </c:pt>
                <c:pt idx="4">
                  <c:v>2.317812622346819</c:v>
                </c:pt>
                <c:pt idx="5">
                  <c:v>2.4869264622669736</c:v>
                </c:pt>
                <c:pt idx="6">
                  <c:v>2.6911881543690566</c:v>
                </c:pt>
                <c:pt idx="7">
                  <c:v>2.9304913606625691</c:v>
                </c:pt>
                <c:pt idx="8">
                  <c:v>3.204762753429935</c:v>
                </c:pt>
                <c:pt idx="9">
                  <c:v>3.5139491438770154</c:v>
                </c:pt>
                <c:pt idx="10">
                  <c:v>3.8580104312922283</c:v>
                </c:pt>
                <c:pt idx="11">
                  <c:v>4.2369154441405161</c:v>
                </c:pt>
                <c:pt idx="12">
                  <c:v>4.6506393428970156</c:v>
                </c:pt>
                <c:pt idx="13">
                  <c:v>5.099161922488074</c:v>
                </c:pt>
                <c:pt idx="14">
                  <c:v>5.5824664604434719</c:v>
                </c:pt>
              </c:numCache>
            </c:numRef>
          </c:yVal>
          <c:smooth val="0"/>
          <c:extLst>
            <c:ext xmlns:c16="http://schemas.microsoft.com/office/drawing/2014/chart" uri="{C3380CC4-5D6E-409C-BE32-E72D297353CC}">
              <c16:uniqueId val="{00000005-2E00-4800-8369-F172F8755577}"/>
            </c:ext>
          </c:extLst>
        </c:ser>
        <c:ser>
          <c:idx val="3"/>
          <c:order val="3"/>
          <c:tx>
            <c:v>Likformskurva</c:v>
          </c:tx>
          <c:spPr>
            <a:ln w="25400" cap="rnd">
              <a:noFill/>
              <a:round/>
            </a:ln>
            <a:effectLst/>
          </c:spPr>
          <c:marker>
            <c:symbol val="circle"/>
            <c:size val="5"/>
            <c:spPr>
              <a:solidFill>
                <a:schemeClr val="accent4"/>
              </a:solidFill>
              <a:ln w="9525">
                <a:solidFill>
                  <a:schemeClr val="accent4"/>
                </a:solidFill>
              </a:ln>
              <a:effectLst/>
            </c:spPr>
          </c:marker>
          <c:trendline>
            <c:spPr>
              <a:ln w="19050" cap="rnd">
                <a:solidFill>
                  <a:schemeClr val="accent4"/>
                </a:solidFill>
                <a:prstDash val="sysDot"/>
              </a:ln>
              <a:effectLst/>
            </c:spPr>
            <c:trendlineType val="poly"/>
            <c:order val="3"/>
            <c:dispRSqr val="0"/>
            <c:dispEq val="0"/>
          </c:trendline>
          <c:xVal>
            <c:numRef>
              <c:f>Sheet1!$A$84:$A$98</c:f>
              <c:numCache>
                <c:formatCode>General</c:formatCode>
                <c:ptCount val="15"/>
                <c:pt idx="0">
                  <c:v>0.01</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numCache>
            </c:numRef>
          </c:xVal>
          <c:yVal>
            <c:numRef>
              <c:f>Sheet1!$I$84:$I$98</c:f>
              <c:numCache>
                <c:formatCode>0.0000</c:formatCode>
                <c:ptCount val="15"/>
                <c:pt idx="0" formatCode="0.00000000">
                  <c:v>3.8580104312922285E-6</c:v>
                </c:pt>
                <c:pt idx="1">
                  <c:v>3.8580104312922282E-2</c:v>
                </c:pt>
                <c:pt idx="2" formatCode="0.000">
                  <c:v>0.15432041725168913</c:v>
                </c:pt>
                <c:pt idx="3" formatCode="0.000">
                  <c:v>0.34722093881630056</c:v>
                </c:pt>
                <c:pt idx="4" formatCode="0.000">
                  <c:v>0.61728166900675652</c:v>
                </c:pt>
                <c:pt idx="5" formatCode="0.000">
                  <c:v>0.96450260782305708</c:v>
                </c:pt>
                <c:pt idx="6" formatCode="0.000">
                  <c:v>1.3888837552652022</c:v>
                </c:pt>
                <c:pt idx="7" formatCode="0.000">
                  <c:v>1.8904251113331918</c:v>
                </c:pt>
                <c:pt idx="8" formatCode="0.000">
                  <c:v>2.4691266760270261</c:v>
                </c:pt>
                <c:pt idx="9" formatCode="0.000">
                  <c:v>3.1249884493467048</c:v>
                </c:pt>
                <c:pt idx="10" formatCode="0.000">
                  <c:v>3.8580104312922283</c:v>
                </c:pt>
                <c:pt idx="11" formatCode="0.000">
                  <c:v>4.6681926218635965</c:v>
                </c:pt>
                <c:pt idx="12" formatCode="0.000">
                  <c:v>5.555535021060809</c:v>
                </c:pt>
                <c:pt idx="13" formatCode="0.000">
                  <c:v>6.5200376288838653</c:v>
                </c:pt>
                <c:pt idx="14" formatCode="0.000">
                  <c:v>7.5617004453327672</c:v>
                </c:pt>
              </c:numCache>
            </c:numRef>
          </c:yVal>
          <c:smooth val="0"/>
          <c:extLst>
            <c:ext xmlns:c16="http://schemas.microsoft.com/office/drawing/2014/chart" uri="{C3380CC4-5D6E-409C-BE32-E72D297353CC}">
              <c16:uniqueId val="{00000007-2E00-4800-8369-F172F8755577}"/>
            </c:ext>
          </c:extLst>
        </c:ser>
        <c:dLbls>
          <c:showLegendKey val="0"/>
          <c:showVal val="0"/>
          <c:showCatName val="0"/>
          <c:showSerName val="0"/>
          <c:showPercent val="0"/>
          <c:showBubbleSize val="0"/>
        </c:dLbls>
        <c:axId val="683165232"/>
        <c:axId val="683174832"/>
      </c:scatterChart>
      <c:valAx>
        <c:axId val="683165232"/>
        <c:scaling>
          <c:orientation val="minMax"/>
          <c:max val="13"/>
          <c:min val="6"/>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out"/>
        <c:minorTickMark val="in"/>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83174832"/>
        <c:crosses val="autoZero"/>
        <c:crossBetween val="midCat"/>
      </c:valAx>
      <c:valAx>
        <c:axId val="683174832"/>
        <c:scaling>
          <c:orientation val="minMax"/>
          <c:max val="6"/>
          <c:min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0" sourceLinked="1"/>
        <c:majorTickMark val="out"/>
        <c:minorTickMark val="in"/>
        <c:tickLblPos val="nextTo"/>
        <c:spPr>
          <a:noFill/>
          <a:ln w="9525" cap="flat" cmpd="sng" algn="ctr">
            <a:solidFill>
              <a:schemeClr val="tx1">
                <a:lumMod val="25000"/>
                <a:lumOff val="75000"/>
              </a:schemeClr>
            </a:solidFill>
            <a:beve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831652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15</xdr:col>
      <xdr:colOff>666750</xdr:colOff>
      <xdr:row>14</xdr:row>
      <xdr:rowOff>165759</xdr:rowOff>
    </xdr:from>
    <xdr:to>
      <xdr:col>28</xdr:col>
      <xdr:colOff>13607</xdr:colOff>
      <xdr:row>39</xdr:row>
      <xdr:rowOff>149679</xdr:rowOff>
    </xdr:to>
    <xdr:graphicFrame macro="">
      <xdr:nvGraphicFramePr>
        <xdr:cNvPr id="2" name="Chart 1">
          <a:extLst>
            <a:ext uri="{FF2B5EF4-FFF2-40B4-BE49-F238E27FC236}">
              <a16:creationId xmlns:a16="http://schemas.microsoft.com/office/drawing/2014/main" id="{EF78788D-5395-56E2-2FF1-B4CB7EDC6E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421819</xdr:colOff>
      <xdr:row>43</xdr:row>
      <xdr:rowOff>183698</xdr:rowOff>
    </xdr:from>
    <xdr:to>
      <xdr:col>27</xdr:col>
      <xdr:colOff>330652</xdr:colOff>
      <xdr:row>64</xdr:row>
      <xdr:rowOff>119063</xdr:rowOff>
    </xdr:to>
    <xdr:graphicFrame macro="">
      <xdr:nvGraphicFramePr>
        <xdr:cNvPr id="4" name="Chart 3">
          <a:extLst>
            <a:ext uri="{FF2B5EF4-FFF2-40B4-BE49-F238E27FC236}">
              <a16:creationId xmlns:a16="http://schemas.microsoft.com/office/drawing/2014/main" id="{A867335D-1E4B-5E20-A8CB-EDC1DA6697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411614</xdr:colOff>
      <xdr:row>67</xdr:row>
      <xdr:rowOff>201940</xdr:rowOff>
    </xdr:from>
    <xdr:to>
      <xdr:col>27</xdr:col>
      <xdr:colOff>296880</xdr:colOff>
      <xdr:row>89</xdr:row>
      <xdr:rowOff>197304</xdr:rowOff>
    </xdr:to>
    <xdr:graphicFrame macro="">
      <xdr:nvGraphicFramePr>
        <xdr:cNvPr id="5" name="Chart 4">
          <a:extLst>
            <a:ext uri="{FF2B5EF4-FFF2-40B4-BE49-F238E27FC236}">
              <a16:creationId xmlns:a16="http://schemas.microsoft.com/office/drawing/2014/main" id="{F68D1268-D6F9-4D04-A062-518DD2FCE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313271</xdr:colOff>
      <xdr:row>92</xdr:row>
      <xdr:rowOff>20719</xdr:rowOff>
    </xdr:from>
    <xdr:to>
      <xdr:col>27</xdr:col>
      <xdr:colOff>204106</xdr:colOff>
      <xdr:row>114</xdr:row>
      <xdr:rowOff>108856</xdr:rowOff>
    </xdr:to>
    <xdr:graphicFrame macro="">
      <xdr:nvGraphicFramePr>
        <xdr:cNvPr id="6" name="Chart 5">
          <a:extLst>
            <a:ext uri="{FF2B5EF4-FFF2-40B4-BE49-F238E27FC236}">
              <a16:creationId xmlns:a16="http://schemas.microsoft.com/office/drawing/2014/main" id="{D1DAECEA-9B4C-4277-B0E4-A8FF5D5141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484531</xdr:colOff>
      <xdr:row>143</xdr:row>
      <xdr:rowOff>533400</xdr:rowOff>
    </xdr:from>
    <xdr:to>
      <xdr:col>8</xdr:col>
      <xdr:colOff>393422</xdr:colOff>
      <xdr:row>155</xdr:row>
      <xdr:rowOff>87796</xdr:rowOff>
    </xdr:to>
    <xdr:graphicFrame macro="">
      <xdr:nvGraphicFramePr>
        <xdr:cNvPr id="3" name="Chart 2">
          <a:extLst>
            <a:ext uri="{FF2B5EF4-FFF2-40B4-BE49-F238E27FC236}">
              <a16:creationId xmlns:a16="http://schemas.microsoft.com/office/drawing/2014/main" id="{94944A6E-56D0-1905-C94F-930AB74B50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612914</xdr:colOff>
      <xdr:row>143</xdr:row>
      <xdr:rowOff>306456</xdr:rowOff>
    </xdr:from>
    <xdr:to>
      <xdr:col>16</xdr:col>
      <xdr:colOff>115958</xdr:colOff>
      <xdr:row>158</xdr:row>
      <xdr:rowOff>612914</xdr:rowOff>
    </xdr:to>
    <xdr:graphicFrame macro="">
      <xdr:nvGraphicFramePr>
        <xdr:cNvPr id="18" name="Chart 17">
          <a:extLst>
            <a:ext uri="{FF2B5EF4-FFF2-40B4-BE49-F238E27FC236}">
              <a16:creationId xmlns:a16="http://schemas.microsoft.com/office/drawing/2014/main" id="{F34D430F-BC49-4F8B-9F58-9864C8957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AD0D276-5BD5-4AB3-9093-ED2DA379A4EC}">
  <we:reference id="wa200010725" version="1.0.0.1" store="en-US" storeType="OMEX"/>
  <we:alternateReferences>
    <we:reference id="WA200010725" version="1.0.0.1" store="WA20001072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87"/>
  <sheetViews>
    <sheetView tabSelected="1" topLeftCell="A162" zoomScale="115" zoomScaleNormal="115" workbookViewId="0">
      <selection activeCell="K192" sqref="K192"/>
    </sheetView>
  </sheetViews>
  <sheetFormatPr defaultColWidth="9.28515625" defaultRowHeight="16.5" x14ac:dyDescent="0.3"/>
  <cols>
    <col min="1" max="1" width="20.7109375" style="3" customWidth="1"/>
    <col min="2" max="6" width="13.28515625" style="3" customWidth="1"/>
    <col min="7" max="8" width="15" style="3" customWidth="1"/>
    <col min="9" max="9" width="17.28515625" style="3" customWidth="1"/>
    <col min="10" max="10" width="19.42578125" style="3" customWidth="1"/>
    <col min="11" max="15" width="15" style="3" customWidth="1"/>
    <col min="16" max="20" width="11.5703125" style="3" customWidth="1"/>
    <col min="21" max="16384" width="9.28515625" style="3"/>
  </cols>
  <sheetData>
    <row r="1" spans="1:21" ht="18.75" x14ac:dyDescent="0.3">
      <c r="A1" s="1" t="s">
        <v>113</v>
      </c>
      <c r="B1" s="2"/>
      <c r="C1" s="2"/>
      <c r="D1" s="2"/>
      <c r="G1" s="4" t="s">
        <v>60</v>
      </c>
      <c r="H1" s="4" t="s">
        <v>61</v>
      </c>
      <c r="I1" s="10" t="s">
        <v>65</v>
      </c>
      <c r="J1" s="4" t="s">
        <v>66</v>
      </c>
    </row>
    <row r="2" spans="1:21" x14ac:dyDescent="0.3">
      <c r="E2" s="5"/>
      <c r="F2" s="6" t="s">
        <v>91</v>
      </c>
      <c r="G2" s="7">
        <f>AVERAGE(G5:G10)/1000</f>
        <v>0.17933333333333334</v>
      </c>
      <c r="H2" s="7">
        <f>AVERAGE(H5:H10)/1000</f>
        <v>0.13725000000000001</v>
      </c>
      <c r="I2" s="7">
        <f>AVERAGE(I5:I10)/1000</f>
        <v>6.0931666666666669E-2</v>
      </c>
      <c r="J2" s="7">
        <f>AVERAGE(J5:J10)/1000</f>
        <v>3.9126666666666664E-2</v>
      </c>
    </row>
    <row r="3" spans="1:21" ht="18" x14ac:dyDescent="0.3">
      <c r="A3" s="3" t="s">
        <v>64</v>
      </c>
      <c r="B3" s="8">
        <v>998.2</v>
      </c>
      <c r="C3" s="3" t="s">
        <v>103</v>
      </c>
    </row>
    <row r="4" spans="1:21" ht="18" x14ac:dyDescent="0.3">
      <c r="A4" s="3" t="s">
        <v>58</v>
      </c>
      <c r="B4" s="8">
        <v>9.81</v>
      </c>
      <c r="C4" s="3" t="s">
        <v>104</v>
      </c>
      <c r="E4" s="5"/>
      <c r="F4" s="5"/>
      <c r="G4" s="9"/>
      <c r="H4" s="9"/>
      <c r="I4" s="9"/>
      <c r="J4" s="9"/>
      <c r="U4" s="10"/>
    </row>
    <row r="5" spans="1:21" x14ac:dyDescent="0.3">
      <c r="E5" s="5"/>
      <c r="F5" s="10" t="s">
        <v>92</v>
      </c>
      <c r="G5" s="52">
        <v>179</v>
      </c>
      <c r="H5" s="52">
        <v>136</v>
      </c>
      <c r="I5" s="52">
        <v>60.9</v>
      </c>
      <c r="J5" s="53">
        <v>39.22</v>
      </c>
      <c r="U5" s="5"/>
    </row>
    <row r="6" spans="1:21" x14ac:dyDescent="0.3">
      <c r="A6" s="10" t="s">
        <v>59</v>
      </c>
      <c r="G6" s="52">
        <v>179</v>
      </c>
      <c r="H6" s="52">
        <v>142</v>
      </c>
      <c r="I6" s="52">
        <v>61.1</v>
      </c>
      <c r="J6" s="53">
        <v>39.119999999999997</v>
      </c>
      <c r="U6" s="5"/>
    </row>
    <row r="7" spans="1:21" x14ac:dyDescent="0.3">
      <c r="A7" s="3" t="s">
        <v>57</v>
      </c>
      <c r="B7" s="2">
        <v>0.1371</v>
      </c>
      <c r="C7" s="3" t="s">
        <v>13</v>
      </c>
      <c r="G7" s="52">
        <v>180</v>
      </c>
      <c r="H7" s="52">
        <v>135</v>
      </c>
      <c r="I7" s="52">
        <v>60.9</v>
      </c>
      <c r="J7" s="53">
        <v>38.96</v>
      </c>
    </row>
    <row r="8" spans="1:21" x14ac:dyDescent="0.3">
      <c r="A8" s="3" t="s">
        <v>63</v>
      </c>
      <c r="B8" s="2">
        <v>9.1000000000000004E-3</v>
      </c>
      <c r="C8" s="3" t="s">
        <v>13</v>
      </c>
      <c r="G8" s="52">
        <v>179.5</v>
      </c>
      <c r="H8" s="52">
        <v>136.5</v>
      </c>
      <c r="I8" s="52">
        <v>61.09</v>
      </c>
      <c r="J8" s="53">
        <v>39.1</v>
      </c>
    </row>
    <row r="9" spans="1:21" x14ac:dyDescent="0.3">
      <c r="A9" s="3" t="s">
        <v>105</v>
      </c>
      <c r="B9" s="2">
        <v>25</v>
      </c>
      <c r="C9" s="3" t="s">
        <v>62</v>
      </c>
      <c r="F9" s="12"/>
      <c r="G9" s="52">
        <v>179.5</v>
      </c>
      <c r="H9" s="52">
        <v>137</v>
      </c>
      <c r="I9" s="52">
        <v>60.8</v>
      </c>
      <c r="J9" s="53">
        <v>39.26</v>
      </c>
    </row>
    <row r="10" spans="1:21" x14ac:dyDescent="0.3">
      <c r="A10" s="5" t="s">
        <v>75</v>
      </c>
      <c r="B10" s="9">
        <f>PI()</f>
        <v>3.1415926535897931</v>
      </c>
      <c r="F10" s="12"/>
      <c r="G10" s="52">
        <v>179</v>
      </c>
      <c r="H10" s="52">
        <v>137</v>
      </c>
      <c r="I10" s="52">
        <v>60.8</v>
      </c>
      <c r="J10" s="53">
        <v>39.1</v>
      </c>
    </row>
    <row r="13" spans="1:21" x14ac:dyDescent="0.3">
      <c r="A13" s="13" t="s">
        <v>115</v>
      </c>
      <c r="G13" s="14" t="s">
        <v>89</v>
      </c>
    </row>
    <row r="14" spans="1:21" x14ac:dyDescent="0.3">
      <c r="A14" s="15" t="s">
        <v>2</v>
      </c>
      <c r="B14" s="9" t="s">
        <v>0</v>
      </c>
      <c r="C14" s="9" t="s">
        <v>1</v>
      </c>
      <c r="D14" s="9" t="s">
        <v>39</v>
      </c>
      <c r="E14" s="9" t="s">
        <v>7</v>
      </c>
      <c r="F14" s="9" t="s">
        <v>33</v>
      </c>
      <c r="G14" s="9" t="s">
        <v>10</v>
      </c>
      <c r="H14" s="9" t="s">
        <v>9</v>
      </c>
      <c r="I14" s="9" t="s">
        <v>36</v>
      </c>
      <c r="J14" s="9" t="s">
        <v>34</v>
      </c>
      <c r="K14" s="9" t="s">
        <v>2</v>
      </c>
      <c r="L14" s="9" t="s">
        <v>12</v>
      </c>
      <c r="M14" s="9" t="s">
        <v>14</v>
      </c>
      <c r="N14" s="9" t="s">
        <v>15</v>
      </c>
      <c r="O14" s="3" t="s">
        <v>19</v>
      </c>
    </row>
    <row r="15" spans="1:21" ht="18" x14ac:dyDescent="0.3">
      <c r="A15" s="15" t="s">
        <v>5</v>
      </c>
      <c r="B15" s="9" t="s">
        <v>17</v>
      </c>
      <c r="C15" s="9" t="s">
        <v>18</v>
      </c>
      <c r="D15" s="9" t="s">
        <v>6</v>
      </c>
      <c r="E15" s="9" t="s">
        <v>8</v>
      </c>
      <c r="F15" s="9" t="s">
        <v>32</v>
      </c>
      <c r="G15" s="9" t="s">
        <v>11</v>
      </c>
      <c r="H15" s="9" t="s">
        <v>11</v>
      </c>
      <c r="I15" s="16" t="s">
        <v>37</v>
      </c>
      <c r="J15" s="9" t="s">
        <v>35</v>
      </c>
      <c r="K15" s="9" t="s">
        <v>106</v>
      </c>
      <c r="L15" s="9" t="s">
        <v>13</v>
      </c>
      <c r="M15" s="9" t="s">
        <v>16</v>
      </c>
      <c r="N15" s="9" t="s">
        <v>16</v>
      </c>
      <c r="O15" s="16" t="s">
        <v>37</v>
      </c>
    </row>
    <row r="16" spans="1:21" x14ac:dyDescent="0.3">
      <c r="A16" s="15"/>
      <c r="B16" s="9"/>
      <c r="C16" s="9"/>
      <c r="D16" s="9"/>
      <c r="E16" s="9"/>
      <c r="F16" s="9"/>
      <c r="G16" s="9"/>
      <c r="H16" s="9"/>
      <c r="J16" s="9"/>
      <c r="K16" s="9"/>
      <c r="L16" s="9"/>
      <c r="M16" s="9"/>
      <c r="N16" s="9"/>
    </row>
    <row r="17" spans="1:20" x14ac:dyDescent="0.3">
      <c r="A17" s="11">
        <v>15600</v>
      </c>
      <c r="B17" s="52">
        <v>-5</v>
      </c>
      <c r="C17" s="11">
        <v>20</v>
      </c>
      <c r="D17" s="11">
        <v>6658</v>
      </c>
      <c r="E17" s="11">
        <v>764</v>
      </c>
      <c r="F17" s="11">
        <v>39.1</v>
      </c>
      <c r="G17" s="49">
        <f>D17/3</f>
        <v>2219.3333333333335</v>
      </c>
      <c r="H17" s="49">
        <f>G17/1.5</f>
        <v>1479.5555555555557</v>
      </c>
      <c r="I17" s="17">
        <f>1-(G17/(60*F17))</f>
        <v>5.3992611537368451E-2</v>
      </c>
      <c r="J17" s="50">
        <f>((E17/1000)*Tyngdacc)*Hävarm</f>
        <v>1.3440746400000003</v>
      </c>
      <c r="K17" s="49">
        <f>A17/1000</f>
        <v>15.6</v>
      </c>
      <c r="L17" s="50">
        <f t="shared" ref="L17:L26" si="0">delta_z+((C17-ABS(B17/10))*1000/(Densitet*Tyngdacc))+(((4*(K17/3600))/(π*PumpDiam_tryck^2))^2-((4*(K17/3600))/(π*PumpDiam_sug^2))^2)/(2*Tyngdacc)</f>
        <v>2.6780641029119727</v>
      </c>
      <c r="M17" s="49">
        <f t="shared" ref="M17:M26" si="1">Densitet*Tyngdacc*(K17/3600)*L17</f>
        <v>113.63958490576134</v>
      </c>
      <c r="N17" s="49">
        <f t="shared" ref="N17:N26" si="2">((G17*2*π)/60)*J17</f>
        <v>312.37375699118348</v>
      </c>
      <c r="O17" s="54">
        <f>M17/N17</f>
        <v>0.36379363618874272</v>
      </c>
    </row>
    <row r="18" spans="1:20" x14ac:dyDescent="0.3">
      <c r="A18" s="11">
        <v>14000</v>
      </c>
      <c r="B18" s="52">
        <v>2.5</v>
      </c>
      <c r="C18" s="11">
        <v>30</v>
      </c>
      <c r="D18" s="11">
        <v>6665</v>
      </c>
      <c r="E18" s="11">
        <v>763</v>
      </c>
      <c r="F18" s="11">
        <v>39.1</v>
      </c>
      <c r="G18" s="49">
        <f t="shared" ref="G18:G26" si="3">D18/3</f>
        <v>2221.6666666666665</v>
      </c>
      <c r="H18" s="49">
        <f t="shared" ref="H18:H26" si="4">G18/1.5</f>
        <v>1481.1111111111111</v>
      </c>
      <c r="I18" s="17">
        <f t="shared" ref="I18:I26" si="5">1-(G18/(60*F18))</f>
        <v>5.2998010798522399E-2</v>
      </c>
      <c r="J18" s="50">
        <f t="shared" ref="J18:J26" si="6">((E18/1000)*Tyngdacc)*Hävarm</f>
        <v>1.3423153800000001</v>
      </c>
      <c r="K18" s="49">
        <f t="shared" ref="K18:K26" si="7">A18/1000</f>
        <v>14</v>
      </c>
      <c r="L18" s="50">
        <f t="shared" si="0"/>
        <v>3.6178702573899622</v>
      </c>
      <c r="M18" s="49">
        <f t="shared" si="1"/>
        <v>137.7733111688521</v>
      </c>
      <c r="N18" s="49">
        <f t="shared" si="2"/>
        <v>312.29288033884734</v>
      </c>
      <c r="O18" s="54">
        <f t="shared" ref="O18:O26" si="8">M18/N18</f>
        <v>0.44116699368670792</v>
      </c>
    </row>
    <row r="19" spans="1:20" x14ac:dyDescent="0.3">
      <c r="A19" s="11">
        <v>13000</v>
      </c>
      <c r="B19" s="52">
        <v>6.5</v>
      </c>
      <c r="C19" s="11">
        <v>35</v>
      </c>
      <c r="D19" s="11">
        <v>6673</v>
      </c>
      <c r="E19" s="11">
        <v>752</v>
      </c>
      <c r="F19" s="11">
        <v>39.1</v>
      </c>
      <c r="G19" s="49">
        <f>D19/3</f>
        <v>2224.3333333333335</v>
      </c>
      <c r="H19" s="49">
        <f t="shared" si="4"/>
        <v>1482.8888888888889</v>
      </c>
      <c r="I19" s="17">
        <f t="shared" si="5"/>
        <v>5.18613242398408E-2</v>
      </c>
      <c r="J19" s="50">
        <f t="shared" si="6"/>
        <v>1.3229635200000003</v>
      </c>
      <c r="K19" s="49">
        <f t="shared" si="7"/>
        <v>13</v>
      </c>
      <c r="L19" s="50">
        <f t="shared" si="0"/>
        <v>4.0266640621808545</v>
      </c>
      <c r="M19" s="49">
        <f t="shared" si="1"/>
        <v>142.38781416883182</v>
      </c>
      <c r="N19" s="49">
        <f t="shared" si="2"/>
        <v>308.16006498154991</v>
      </c>
      <c r="O19" s="54">
        <f t="shared" si="8"/>
        <v>0.46205797035172885</v>
      </c>
    </row>
    <row r="20" spans="1:20" x14ac:dyDescent="0.3">
      <c r="A20" s="11">
        <v>11800</v>
      </c>
      <c r="B20" s="52">
        <v>12</v>
      </c>
      <c r="C20" s="11">
        <v>40</v>
      </c>
      <c r="D20" s="11">
        <v>6675</v>
      </c>
      <c r="E20" s="11">
        <v>740</v>
      </c>
      <c r="F20" s="11">
        <v>39.1</v>
      </c>
      <c r="G20" s="49">
        <f t="shared" si="3"/>
        <v>2225</v>
      </c>
      <c r="H20" s="49">
        <f t="shared" si="4"/>
        <v>1483.3333333333333</v>
      </c>
      <c r="I20" s="17">
        <f t="shared" si="5"/>
        <v>5.1577152600170484E-2</v>
      </c>
      <c r="J20" s="50">
        <f t="shared" si="6"/>
        <v>1.3018524000000002</v>
      </c>
      <c r="K20" s="49">
        <f t="shared" si="7"/>
        <v>11.8</v>
      </c>
      <c r="L20" s="50">
        <f t="shared" si="0"/>
        <v>4.4139082025556826</v>
      </c>
      <c r="M20" s="49">
        <f t="shared" si="1"/>
        <v>141.67374566032225</v>
      </c>
      <c r="N20" s="49">
        <f t="shared" si="2"/>
        <v>303.33350357911957</v>
      </c>
      <c r="O20" s="54">
        <f t="shared" si="8"/>
        <v>0.46705604223955755</v>
      </c>
    </row>
    <row r="21" spans="1:20" x14ac:dyDescent="0.3">
      <c r="A21" s="11">
        <v>9500</v>
      </c>
      <c r="B21" s="52">
        <v>20</v>
      </c>
      <c r="C21" s="11">
        <v>49</v>
      </c>
      <c r="D21" s="11">
        <v>6698</v>
      </c>
      <c r="E21" s="11">
        <v>698</v>
      </c>
      <c r="F21" s="11">
        <v>39.200000000000003</v>
      </c>
      <c r="G21" s="49">
        <f t="shared" si="3"/>
        <v>2232.6666666666665</v>
      </c>
      <c r="H21" s="49">
        <f t="shared" si="4"/>
        <v>1488.4444444444443</v>
      </c>
      <c r="I21" s="17">
        <f t="shared" si="5"/>
        <v>5.0736961451247176E-2</v>
      </c>
      <c r="J21" s="50">
        <f t="shared" si="6"/>
        <v>1.2279634800000001</v>
      </c>
      <c r="K21" s="49">
        <f t="shared" si="7"/>
        <v>9.5</v>
      </c>
      <c r="L21" s="50">
        <f t="shared" si="0"/>
        <v>5.1406868536623485</v>
      </c>
      <c r="M21" s="49">
        <f t="shared" si="1"/>
        <v>132.83998776852053</v>
      </c>
      <c r="N21" s="49">
        <f t="shared" si="2"/>
        <v>287.10314996803606</v>
      </c>
      <c r="O21" s="54">
        <f t="shared" si="8"/>
        <v>0.46269080566796272</v>
      </c>
    </row>
    <row r="22" spans="1:20" x14ac:dyDescent="0.3">
      <c r="A22" s="11">
        <v>8100</v>
      </c>
      <c r="B22" s="52">
        <v>25</v>
      </c>
      <c r="C22" s="11">
        <v>54</v>
      </c>
      <c r="D22" s="11">
        <v>6722</v>
      </c>
      <c r="E22" s="11">
        <v>663</v>
      </c>
      <c r="F22" s="11">
        <v>39.200000000000003</v>
      </c>
      <c r="G22" s="49">
        <f t="shared" si="3"/>
        <v>2240.6666666666665</v>
      </c>
      <c r="H22" s="49">
        <f t="shared" si="4"/>
        <v>1493.7777777777776</v>
      </c>
      <c r="I22" s="17">
        <f t="shared" si="5"/>
        <v>4.7335600907029596E-2</v>
      </c>
      <c r="J22" s="50">
        <f t="shared" si="6"/>
        <v>1.1663893800000003</v>
      </c>
      <c r="K22" s="49">
        <f t="shared" si="7"/>
        <v>8.1</v>
      </c>
      <c r="L22" s="50">
        <f t="shared" si="0"/>
        <v>5.5445970424230921</v>
      </c>
      <c r="M22" s="49">
        <f t="shared" si="1"/>
        <v>122.16282860608972</v>
      </c>
      <c r="N22" s="49">
        <f t="shared" si="2"/>
        <v>273.684012295174</v>
      </c>
      <c r="O22" s="54">
        <f t="shared" si="8"/>
        <v>0.44636450474985923</v>
      </c>
    </row>
    <row r="23" spans="1:20" x14ac:dyDescent="0.3">
      <c r="A23" s="11">
        <v>7200</v>
      </c>
      <c r="B23" s="52">
        <v>27</v>
      </c>
      <c r="C23" s="11">
        <v>56</v>
      </c>
      <c r="D23" s="11">
        <v>6734</v>
      </c>
      <c r="E23" s="11">
        <v>640</v>
      </c>
      <c r="F23" s="11">
        <v>39.200000000000003</v>
      </c>
      <c r="G23" s="49">
        <f t="shared" si="3"/>
        <v>2244.6666666666665</v>
      </c>
      <c r="H23" s="49">
        <f t="shared" si="4"/>
        <v>1496.4444444444443</v>
      </c>
      <c r="I23" s="17">
        <f t="shared" si="5"/>
        <v>4.5634920634920695E-2</v>
      </c>
      <c r="J23" s="50">
        <f t="shared" si="6"/>
        <v>1.1259264000000002</v>
      </c>
      <c r="K23" s="49">
        <f t="shared" si="7"/>
        <v>7.2</v>
      </c>
      <c r="L23" s="50">
        <f t="shared" si="0"/>
        <v>5.6973240263700138</v>
      </c>
      <c r="M23" s="49">
        <f t="shared" si="1"/>
        <v>111.5802907020644</v>
      </c>
      <c r="N23" s="49">
        <f t="shared" si="2"/>
        <v>264.66132207412619</v>
      </c>
      <c r="O23" s="54">
        <f t="shared" si="8"/>
        <v>0.42159651371654927</v>
      </c>
    </row>
    <row r="24" spans="1:20" x14ac:dyDescent="0.3">
      <c r="A24" s="11">
        <v>6400</v>
      </c>
      <c r="B24" s="52">
        <v>30</v>
      </c>
      <c r="C24" s="11">
        <v>58</v>
      </c>
      <c r="D24" s="11">
        <v>6746</v>
      </c>
      <c r="E24" s="11">
        <v>618</v>
      </c>
      <c r="F24" s="11">
        <v>39.200000000000003</v>
      </c>
      <c r="G24" s="49">
        <f t="shared" si="3"/>
        <v>2248.6666666666665</v>
      </c>
      <c r="H24" s="49">
        <f t="shared" si="4"/>
        <v>1499.1111111111111</v>
      </c>
      <c r="I24" s="17">
        <f t="shared" si="5"/>
        <v>4.3934240362811905E-2</v>
      </c>
      <c r="J24" s="50">
        <f t="shared" si="6"/>
        <v>1.0872226800000002</v>
      </c>
      <c r="K24" s="49">
        <f t="shared" si="7"/>
        <v>6.4</v>
      </c>
      <c r="L24" s="50">
        <f t="shared" si="0"/>
        <v>5.8463640367306828</v>
      </c>
      <c r="M24" s="49">
        <f t="shared" si="1"/>
        <v>101.77705974074206</v>
      </c>
      <c r="N24" s="49">
        <f t="shared" si="2"/>
        <v>256.01900389906865</v>
      </c>
      <c r="O24" s="54">
        <f t="shared" si="8"/>
        <v>0.39753712884870851</v>
      </c>
    </row>
    <row r="25" spans="1:20" x14ac:dyDescent="0.3">
      <c r="A25" s="11">
        <v>5500</v>
      </c>
      <c r="B25" s="52">
        <v>34</v>
      </c>
      <c r="C25" s="11">
        <v>60</v>
      </c>
      <c r="D25" s="11">
        <v>6764</v>
      </c>
      <c r="E25" s="11">
        <v>590</v>
      </c>
      <c r="F25" s="11">
        <v>39.200000000000003</v>
      </c>
      <c r="G25" s="49">
        <f t="shared" si="3"/>
        <v>2254.6666666666665</v>
      </c>
      <c r="H25" s="49">
        <f t="shared" si="4"/>
        <v>1503.1111111111111</v>
      </c>
      <c r="I25" s="17">
        <f t="shared" si="5"/>
        <v>4.1383219954648554E-2</v>
      </c>
      <c r="J25" s="50">
        <f t="shared" si="6"/>
        <v>1.0379634</v>
      </c>
      <c r="K25" s="49">
        <f t="shared" si="7"/>
        <v>5.5</v>
      </c>
      <c r="L25" s="50">
        <f t="shared" si="0"/>
        <v>5.9855758141703879</v>
      </c>
      <c r="M25" s="49">
        <f t="shared" si="1"/>
        <v>89.547341643351913</v>
      </c>
      <c r="N25" s="49">
        <f t="shared" si="2"/>
        <v>245.07160901779673</v>
      </c>
      <c r="O25" s="54">
        <f t="shared" si="8"/>
        <v>0.36539255608693993</v>
      </c>
    </row>
    <row r="26" spans="1:20" x14ac:dyDescent="0.3">
      <c r="A26" s="11">
        <v>4800</v>
      </c>
      <c r="B26" s="52">
        <v>38</v>
      </c>
      <c r="C26" s="11">
        <v>61</v>
      </c>
      <c r="D26" s="11">
        <v>6784</v>
      </c>
      <c r="E26" s="11">
        <v>560</v>
      </c>
      <c r="F26" s="11">
        <v>39.200000000000003</v>
      </c>
      <c r="G26" s="49">
        <f t="shared" si="3"/>
        <v>2261.3333333333335</v>
      </c>
      <c r="H26" s="49">
        <f t="shared" si="4"/>
        <v>1507.5555555555557</v>
      </c>
      <c r="I26" s="17">
        <f t="shared" si="5"/>
        <v>3.8548752834467015E-2</v>
      </c>
      <c r="J26" s="50">
        <f t="shared" si="6"/>
        <v>0.98518560000000022</v>
      </c>
      <c r="K26" s="49">
        <f t="shared" si="7"/>
        <v>4.8</v>
      </c>
      <c r="L26" s="50">
        <f t="shared" si="0"/>
        <v>6.0305693310778379</v>
      </c>
      <c r="M26" s="49">
        <f t="shared" si="1"/>
        <v>78.737863126167227</v>
      </c>
      <c r="N26" s="49">
        <f t="shared" si="2"/>
        <v>233.29813006118403</v>
      </c>
      <c r="O26" s="54">
        <f t="shared" si="8"/>
        <v>0.33749890367967239</v>
      </c>
    </row>
    <row r="27" spans="1:20" x14ac:dyDescent="0.3">
      <c r="E27" s="5"/>
      <c r="F27" s="5"/>
      <c r="G27" s="18"/>
      <c r="H27" s="18"/>
      <c r="I27" s="19"/>
      <c r="J27" s="20"/>
      <c r="K27" s="18"/>
      <c r="T27" s="21"/>
    </row>
    <row r="28" spans="1:20" x14ac:dyDescent="0.3">
      <c r="A28" s="13" t="s">
        <v>88</v>
      </c>
      <c r="G28" s="22" t="s">
        <v>90</v>
      </c>
    </row>
    <row r="29" spans="1:20" x14ac:dyDescent="0.3">
      <c r="A29" s="15" t="s">
        <v>2</v>
      </c>
      <c r="B29" s="9" t="s">
        <v>0</v>
      </c>
      <c r="C29" s="9" t="s">
        <v>1</v>
      </c>
      <c r="D29" s="9" t="s">
        <v>39</v>
      </c>
      <c r="E29" s="9" t="s">
        <v>7</v>
      </c>
      <c r="F29" s="9" t="s">
        <v>33</v>
      </c>
      <c r="G29" s="9" t="s">
        <v>10</v>
      </c>
      <c r="H29" s="9" t="s">
        <v>9</v>
      </c>
      <c r="I29" s="9" t="s">
        <v>36</v>
      </c>
      <c r="J29" s="9" t="s">
        <v>34</v>
      </c>
      <c r="K29" s="9" t="s">
        <v>2</v>
      </c>
      <c r="L29" s="9" t="s">
        <v>12</v>
      </c>
      <c r="M29" s="9" t="s">
        <v>14</v>
      </c>
      <c r="N29" s="9" t="s">
        <v>15</v>
      </c>
      <c r="O29" s="3" t="s">
        <v>19</v>
      </c>
    </row>
    <row r="30" spans="1:20" ht="18" x14ac:dyDescent="0.3">
      <c r="A30" s="15" t="s">
        <v>5</v>
      </c>
      <c r="B30" s="9" t="s">
        <v>17</v>
      </c>
      <c r="C30" s="9" t="s">
        <v>18</v>
      </c>
      <c r="D30" s="9" t="s">
        <v>6</v>
      </c>
      <c r="E30" s="9" t="s">
        <v>8</v>
      </c>
      <c r="F30" s="9" t="s">
        <v>32</v>
      </c>
      <c r="G30" s="9" t="s">
        <v>11</v>
      </c>
      <c r="H30" s="9" t="s">
        <v>11</v>
      </c>
      <c r="I30" s="16" t="s">
        <v>37</v>
      </c>
      <c r="J30" s="9" t="s">
        <v>35</v>
      </c>
      <c r="K30" s="9" t="s">
        <v>106</v>
      </c>
      <c r="L30" s="9" t="s">
        <v>13</v>
      </c>
      <c r="M30" s="9" t="s">
        <v>16</v>
      </c>
      <c r="N30" s="9" t="s">
        <v>16</v>
      </c>
      <c r="O30" s="16" t="s">
        <v>37</v>
      </c>
    </row>
    <row r="31" spans="1:20" x14ac:dyDescent="0.3">
      <c r="A31" s="15"/>
      <c r="B31" s="9"/>
      <c r="C31" s="9"/>
      <c r="D31" s="9"/>
      <c r="E31" s="9"/>
      <c r="F31" s="9"/>
      <c r="G31" s="9"/>
      <c r="H31" s="9"/>
      <c r="J31" s="9"/>
      <c r="K31" s="9"/>
      <c r="L31" s="9"/>
      <c r="M31" s="9"/>
      <c r="N31" s="9"/>
    </row>
    <row r="32" spans="1:20" x14ac:dyDescent="0.3">
      <c r="A32" s="11">
        <v>12400</v>
      </c>
      <c r="B32" s="52">
        <v>9</v>
      </c>
      <c r="C32" s="11">
        <v>15</v>
      </c>
      <c r="D32" s="11">
        <v>5342</v>
      </c>
      <c r="E32" s="11">
        <v>560</v>
      </c>
      <c r="F32" s="11">
        <v>31.3</v>
      </c>
      <c r="G32" s="49">
        <f>D32/3</f>
        <v>1780.6666666666667</v>
      </c>
      <c r="H32" s="49">
        <f>G32/1.5</f>
        <v>1187.1111111111111</v>
      </c>
      <c r="I32" s="17">
        <f>1-(G32/(60*F32))</f>
        <v>5.1828186013489486E-2</v>
      </c>
      <c r="J32" s="50">
        <f t="shared" ref="J32:J41" si="9">((E32/1000)*Tyngdacc)*Hävarm</f>
        <v>0.98518560000000022</v>
      </c>
      <c r="K32" s="49">
        <f>A32/1000</f>
        <v>12.4</v>
      </c>
      <c r="L32" s="50">
        <f t="shared" ref="L32:L41" si="10">delta_z+((C32-ABS(B32/10))*1000/(Densitet*Tyngdacc))+(((4*(K32/3600))/(π*PumpDiam_tryck^2))^2-((4*(K32/3600))/(π*PumpDiam_sug^2))^2)/(2*Tyngdacc)</f>
        <v>1.9243124674288614</v>
      </c>
      <c r="M32" s="49">
        <f t="shared" ref="M32:M41" si="11">Densitet*Tyngdacc*(K32/3600)*L32</f>
        <v>64.905477741527278</v>
      </c>
      <c r="N32" s="49">
        <f t="shared" ref="N32:N41" si="12">((G32*2*π)/60)*J32</f>
        <v>183.70852163721185</v>
      </c>
      <c r="O32" s="54">
        <f>M32/N32</f>
        <v>0.35330684261725659</v>
      </c>
      <c r="P32" s="12"/>
      <c r="Q32" s="12"/>
      <c r="R32" s="12"/>
    </row>
    <row r="33" spans="1:18" x14ac:dyDescent="0.3">
      <c r="A33" s="11">
        <v>11400</v>
      </c>
      <c r="B33" s="52">
        <v>13</v>
      </c>
      <c r="C33" s="11">
        <v>19</v>
      </c>
      <c r="D33" s="11">
        <v>5348</v>
      </c>
      <c r="E33" s="11">
        <v>555</v>
      </c>
      <c r="F33" s="11">
        <v>31.3</v>
      </c>
      <c r="G33" s="49">
        <f t="shared" ref="G33:G41" si="13">D33/3</f>
        <v>1782.6666666666667</v>
      </c>
      <c r="H33" s="49">
        <f t="shared" ref="H33:H41" si="14">G33/1.5</f>
        <v>1188.4444444444446</v>
      </c>
      <c r="I33" s="17">
        <f t="shared" ref="I33:I41" si="15">1-(G33/(60*F33))</f>
        <v>5.0763223287184855E-2</v>
      </c>
      <c r="J33" s="50">
        <f t="shared" si="9"/>
        <v>0.97638930000000013</v>
      </c>
      <c r="K33" s="49">
        <f t="shared" ref="K33:K41" si="16">A33/1000</f>
        <v>11.4</v>
      </c>
      <c r="L33" s="50">
        <f t="shared" si="10"/>
        <v>2.2382106669079334</v>
      </c>
      <c r="M33" s="49">
        <f t="shared" si="11"/>
        <v>69.404860341633466</v>
      </c>
      <c r="N33" s="49">
        <f t="shared" si="12"/>
        <v>182.2727614765316</v>
      </c>
      <c r="O33" s="54">
        <f t="shared" ref="O33:O41" si="17">M33/N33</f>
        <v>0.38077472343869462</v>
      </c>
      <c r="P33" s="12"/>
      <c r="Q33" s="12"/>
      <c r="R33" s="12"/>
    </row>
    <row r="34" spans="1:18" x14ac:dyDescent="0.3">
      <c r="A34" s="11">
        <v>10500</v>
      </c>
      <c r="B34" s="52">
        <v>16</v>
      </c>
      <c r="C34" s="11">
        <v>23</v>
      </c>
      <c r="D34" s="11">
        <v>5352</v>
      </c>
      <c r="E34" s="11">
        <v>545</v>
      </c>
      <c r="F34" s="11">
        <v>31.3</v>
      </c>
      <c r="G34" s="49">
        <f t="shared" si="13"/>
        <v>1784</v>
      </c>
      <c r="H34" s="49">
        <f t="shared" si="14"/>
        <v>1189.3333333333333</v>
      </c>
      <c r="I34" s="17">
        <f t="shared" si="15"/>
        <v>5.0053248136315176E-2</v>
      </c>
      <c r="J34" s="50">
        <f t="shared" si="9"/>
        <v>0.95879670000000017</v>
      </c>
      <c r="K34" s="49">
        <f t="shared" si="16"/>
        <v>10.5</v>
      </c>
      <c r="L34" s="50">
        <f t="shared" si="10"/>
        <v>2.5715553951777754</v>
      </c>
      <c r="M34" s="49">
        <f t="shared" si="11"/>
        <v>73.446187212783968</v>
      </c>
      <c r="N34" s="49">
        <f t="shared" si="12"/>
        <v>179.12244085023164</v>
      </c>
      <c r="O34" s="54">
        <f t="shared" si="17"/>
        <v>0.41003342107309715</v>
      </c>
      <c r="P34" s="12"/>
      <c r="Q34" s="12"/>
      <c r="R34" s="12"/>
    </row>
    <row r="35" spans="1:18" x14ac:dyDescent="0.3">
      <c r="A35" s="11">
        <v>9600</v>
      </c>
      <c r="B35" s="52">
        <v>20</v>
      </c>
      <c r="C35" s="11">
        <v>27</v>
      </c>
      <c r="D35" s="11">
        <v>5375</v>
      </c>
      <c r="E35" s="11">
        <v>533</v>
      </c>
      <c r="F35" s="11">
        <v>31.3</v>
      </c>
      <c r="G35" s="49">
        <f t="shared" si="13"/>
        <v>1791.6666666666667</v>
      </c>
      <c r="H35" s="49">
        <f t="shared" si="14"/>
        <v>1194.4444444444446</v>
      </c>
      <c r="I35" s="17">
        <f t="shared" si="15"/>
        <v>4.5970891018814353E-2</v>
      </c>
      <c r="J35" s="50">
        <f t="shared" si="9"/>
        <v>0.93768558000000013</v>
      </c>
      <c r="K35" s="49">
        <f t="shared" si="16"/>
        <v>9.6</v>
      </c>
      <c r="L35" s="50">
        <f t="shared" si="10"/>
        <v>2.8983457236278789</v>
      </c>
      <c r="M35" s="49">
        <f t="shared" si="11"/>
        <v>75.684246826671128</v>
      </c>
      <c r="N35" s="49">
        <f t="shared" si="12"/>
        <v>175.93128273433146</v>
      </c>
      <c r="O35" s="54">
        <f t="shared" si="17"/>
        <v>0.4301920934718565</v>
      </c>
      <c r="P35" s="12"/>
      <c r="Q35" s="12"/>
      <c r="R35" s="12"/>
    </row>
    <row r="36" spans="1:18" x14ac:dyDescent="0.3">
      <c r="A36" s="11">
        <v>8700</v>
      </c>
      <c r="B36" s="52">
        <v>23</v>
      </c>
      <c r="C36" s="11">
        <v>30</v>
      </c>
      <c r="D36" s="11">
        <v>5369</v>
      </c>
      <c r="E36" s="11">
        <v>525</v>
      </c>
      <c r="F36" s="11">
        <v>31.3</v>
      </c>
      <c r="G36" s="49">
        <f t="shared" si="13"/>
        <v>1789.6666666666667</v>
      </c>
      <c r="H36" s="49">
        <f t="shared" si="14"/>
        <v>1193.1111111111111</v>
      </c>
      <c r="I36" s="17">
        <f t="shared" si="15"/>
        <v>4.7035853745118872E-2</v>
      </c>
      <c r="J36" s="50">
        <f t="shared" si="9"/>
        <v>0.92361150000000014</v>
      </c>
      <c r="K36" s="49">
        <f t="shared" si="16"/>
        <v>8.6999999999999993</v>
      </c>
      <c r="L36" s="50">
        <f t="shared" si="10"/>
        <v>3.1368851592231763</v>
      </c>
      <c r="M36" s="49">
        <f t="shared" si="11"/>
        <v>74.233843043441325</v>
      </c>
      <c r="N36" s="49">
        <f t="shared" si="12"/>
        <v>173.09722236583741</v>
      </c>
      <c r="O36" s="54">
        <f t="shared" si="17"/>
        <v>0.42885635037256475</v>
      </c>
      <c r="P36" s="12"/>
      <c r="Q36" s="12"/>
      <c r="R36" s="12"/>
    </row>
    <row r="37" spans="1:18" x14ac:dyDescent="0.3">
      <c r="A37" s="11">
        <v>7900</v>
      </c>
      <c r="B37" s="52">
        <v>25</v>
      </c>
      <c r="C37" s="11">
        <v>32</v>
      </c>
      <c r="D37" s="11">
        <v>5373</v>
      </c>
      <c r="E37" s="11">
        <v>510</v>
      </c>
      <c r="F37" s="11">
        <v>31.3</v>
      </c>
      <c r="G37" s="49">
        <f t="shared" si="13"/>
        <v>1791</v>
      </c>
      <c r="H37" s="49">
        <f t="shared" si="14"/>
        <v>1194</v>
      </c>
      <c r="I37" s="17">
        <f t="shared" si="15"/>
        <v>4.6325878594249192E-2</v>
      </c>
      <c r="J37" s="50">
        <f t="shared" si="9"/>
        <v>0.8972226000000002</v>
      </c>
      <c r="K37" s="49">
        <f t="shared" si="16"/>
        <v>7.9</v>
      </c>
      <c r="L37" s="50">
        <f t="shared" si="10"/>
        <v>3.2907184729767183</v>
      </c>
      <c r="M37" s="49">
        <f t="shared" si="11"/>
        <v>70.713428231537691</v>
      </c>
      <c r="N37" s="49">
        <f t="shared" si="12"/>
        <v>168.27686334904561</v>
      </c>
      <c r="O37" s="54">
        <f t="shared" si="17"/>
        <v>0.42022074112982177</v>
      </c>
      <c r="P37" s="12"/>
      <c r="Q37" s="12"/>
      <c r="R37" s="12"/>
    </row>
    <row r="38" spans="1:18" x14ac:dyDescent="0.3">
      <c r="A38" s="11">
        <v>7000</v>
      </c>
      <c r="B38" s="52">
        <v>27</v>
      </c>
      <c r="C38" s="11">
        <v>34</v>
      </c>
      <c r="D38" s="11">
        <v>5384</v>
      </c>
      <c r="E38" s="11">
        <v>500</v>
      </c>
      <c r="F38" s="11">
        <v>31.3</v>
      </c>
      <c r="G38" s="49">
        <f t="shared" si="13"/>
        <v>1794.6666666666667</v>
      </c>
      <c r="H38" s="49">
        <f t="shared" si="14"/>
        <v>1196.4444444444446</v>
      </c>
      <c r="I38" s="17">
        <f t="shared" si="15"/>
        <v>4.4373446929357407E-2</v>
      </c>
      <c r="J38" s="50">
        <f t="shared" si="9"/>
        <v>0.87963000000000013</v>
      </c>
      <c r="K38" s="49">
        <f t="shared" si="16"/>
        <v>7</v>
      </c>
      <c r="L38" s="50">
        <f t="shared" si="10"/>
        <v>3.4442582706591165</v>
      </c>
      <c r="M38" s="49">
        <f t="shared" si="11"/>
        <v>65.58096790509957</v>
      </c>
      <c r="N38" s="49">
        <f t="shared" si="12"/>
        <v>165.31507068225326</v>
      </c>
      <c r="O38" s="54">
        <f t="shared" si="17"/>
        <v>0.39670289970810113</v>
      </c>
      <c r="P38" s="12"/>
      <c r="Q38" s="12"/>
      <c r="R38" s="12"/>
    </row>
    <row r="39" spans="1:18" x14ac:dyDescent="0.3">
      <c r="A39" s="11">
        <v>6200</v>
      </c>
      <c r="B39" s="52">
        <v>29</v>
      </c>
      <c r="C39" s="11">
        <v>36</v>
      </c>
      <c r="D39" s="11">
        <v>5394</v>
      </c>
      <c r="E39" s="11">
        <v>483</v>
      </c>
      <c r="F39" s="11">
        <v>31.3</v>
      </c>
      <c r="G39" s="49">
        <f t="shared" si="13"/>
        <v>1798</v>
      </c>
      <c r="H39" s="49">
        <f t="shared" si="14"/>
        <v>1198.6666666666667</v>
      </c>
      <c r="I39" s="17">
        <f t="shared" si="15"/>
        <v>4.2598509052183209E-2</v>
      </c>
      <c r="J39" s="50">
        <f t="shared" si="9"/>
        <v>0.84972258000000001</v>
      </c>
      <c r="K39" s="49">
        <f t="shared" si="16"/>
        <v>6.2</v>
      </c>
      <c r="L39" s="50">
        <f t="shared" si="10"/>
        <v>3.6042328437473707</v>
      </c>
      <c r="M39" s="49">
        <f t="shared" si="11"/>
        <v>60.783905570100636</v>
      </c>
      <c r="N39" s="49">
        <f t="shared" si="12"/>
        <v>159.99096741404745</v>
      </c>
      <c r="O39" s="54">
        <f t="shared" si="17"/>
        <v>0.37992085773689571</v>
      </c>
    </row>
    <row r="40" spans="1:18" x14ac:dyDescent="0.3">
      <c r="A40" s="11">
        <v>5400</v>
      </c>
      <c r="B40" s="52">
        <v>31</v>
      </c>
      <c r="C40" s="11">
        <v>37</v>
      </c>
      <c r="D40" s="11">
        <v>5404</v>
      </c>
      <c r="E40" s="11">
        <v>461</v>
      </c>
      <c r="F40" s="11">
        <v>31.4</v>
      </c>
      <c r="G40" s="49">
        <f t="shared" si="13"/>
        <v>1801.3333333333333</v>
      </c>
      <c r="H40" s="49">
        <f t="shared" si="14"/>
        <v>1200.8888888888889</v>
      </c>
      <c r="I40" s="17">
        <f t="shared" si="15"/>
        <v>4.3878273177636262E-2</v>
      </c>
      <c r="J40" s="50">
        <f t="shared" si="9"/>
        <v>0.81101886000000023</v>
      </c>
      <c r="K40" s="49">
        <f t="shared" si="16"/>
        <v>5.4</v>
      </c>
      <c r="L40" s="50">
        <f t="shared" si="10"/>
        <v>3.6649768049345961</v>
      </c>
      <c r="M40" s="49">
        <f t="shared" si="11"/>
        <v>53.833059443980282</v>
      </c>
      <c r="N40" s="49">
        <f t="shared" si="12"/>
        <v>152.98669314514834</v>
      </c>
      <c r="O40" s="54">
        <f t="shared" si="17"/>
        <v>0.35188066580996941</v>
      </c>
    </row>
    <row r="41" spans="1:18" x14ac:dyDescent="0.3">
      <c r="A41" s="11">
        <v>4400</v>
      </c>
      <c r="B41" s="52">
        <v>35</v>
      </c>
      <c r="C41" s="11">
        <v>39</v>
      </c>
      <c r="D41" s="11">
        <v>5418</v>
      </c>
      <c r="E41" s="11">
        <v>440</v>
      </c>
      <c r="F41" s="11">
        <v>31.4</v>
      </c>
      <c r="G41" s="49">
        <f t="shared" si="13"/>
        <v>1806</v>
      </c>
      <c r="H41" s="49">
        <f t="shared" si="14"/>
        <v>1204</v>
      </c>
      <c r="I41" s="17">
        <f t="shared" si="15"/>
        <v>4.1401273885350309E-2</v>
      </c>
      <c r="J41" s="50">
        <f t="shared" si="9"/>
        <v>0.77407440000000016</v>
      </c>
      <c r="K41" s="49">
        <f t="shared" si="16"/>
        <v>4.4000000000000004</v>
      </c>
      <c r="L41" s="50">
        <f t="shared" si="10"/>
        <v>3.8062431948723123</v>
      </c>
      <c r="M41" s="49">
        <f t="shared" si="11"/>
        <v>45.5547095658873</v>
      </c>
      <c r="N41" s="49">
        <f t="shared" si="12"/>
        <v>146.39595219199003</v>
      </c>
      <c r="O41" s="54">
        <f t="shared" si="17"/>
        <v>0.31117465260340577</v>
      </c>
    </row>
    <row r="42" spans="1:18" x14ac:dyDescent="0.3">
      <c r="E42" s="5"/>
      <c r="F42" s="5"/>
      <c r="G42" s="23"/>
      <c r="H42" s="24"/>
      <c r="I42" s="25"/>
      <c r="J42" s="25"/>
      <c r="K42" s="25"/>
      <c r="L42" s="26"/>
      <c r="M42" s="27"/>
    </row>
    <row r="43" spans="1:18" x14ac:dyDescent="0.3">
      <c r="E43" s="5"/>
      <c r="F43" s="5"/>
      <c r="G43" s="23"/>
      <c r="H43" s="24"/>
      <c r="I43" s="25"/>
      <c r="J43" s="25"/>
      <c r="K43" s="25"/>
      <c r="L43" s="26"/>
      <c r="M43" s="27"/>
    </row>
    <row r="44" spans="1:18" x14ac:dyDescent="0.3">
      <c r="A44" s="13" t="s">
        <v>116</v>
      </c>
      <c r="E44" s="5"/>
      <c r="F44" s="5"/>
      <c r="G44" s="23"/>
      <c r="H44" s="13" t="s">
        <v>70</v>
      </c>
      <c r="K44" s="5" t="s">
        <v>71</v>
      </c>
      <c r="L44" s="2">
        <v>1200</v>
      </c>
      <c r="M44" s="3" t="s">
        <v>11</v>
      </c>
    </row>
    <row r="45" spans="1:18" ht="18" x14ac:dyDescent="0.35">
      <c r="A45" s="9" t="s">
        <v>2</v>
      </c>
      <c r="B45" s="9" t="s">
        <v>12</v>
      </c>
      <c r="C45" s="9" t="s">
        <v>14</v>
      </c>
      <c r="D45" s="9" t="s">
        <v>15</v>
      </c>
      <c r="E45" s="3" t="s">
        <v>19</v>
      </c>
      <c r="F45" s="5"/>
      <c r="G45" s="25"/>
      <c r="K45" s="5" t="s">
        <v>107</v>
      </c>
      <c r="L45" s="28">
        <f>π*PumphjulsDiam*(Euler_rpm/60)</f>
        <v>8.6142470561432134</v>
      </c>
      <c r="M45" s="3" t="s">
        <v>72</v>
      </c>
    </row>
    <row r="46" spans="1:18" ht="18" x14ac:dyDescent="0.3">
      <c r="A46" s="9" t="s">
        <v>106</v>
      </c>
      <c r="B46" s="9" t="s">
        <v>13</v>
      </c>
      <c r="C46" s="9" t="s">
        <v>16</v>
      </c>
      <c r="D46" s="9" t="s">
        <v>16</v>
      </c>
      <c r="E46" s="16" t="s">
        <v>37</v>
      </c>
      <c r="F46" s="5"/>
    </row>
    <row r="47" spans="1:18" ht="18" x14ac:dyDescent="0.35">
      <c r="A47" s="9"/>
      <c r="B47" s="9"/>
      <c r="C47" s="9"/>
      <c r="D47" s="9"/>
      <c r="F47" s="5"/>
      <c r="G47" s="25"/>
      <c r="H47" s="9" t="s">
        <v>2</v>
      </c>
      <c r="I47" s="9" t="s">
        <v>108</v>
      </c>
      <c r="J47" s="9" t="s">
        <v>109</v>
      </c>
      <c r="K47" s="9" t="s">
        <v>110</v>
      </c>
      <c r="L47" s="9" t="s">
        <v>12</v>
      </c>
    </row>
    <row r="48" spans="1:18" ht="18" x14ac:dyDescent="0.3">
      <c r="A48" s="49">
        <f t="shared" ref="A48:A57" si="18">K17*1500/H17</f>
        <v>15.815560228296786</v>
      </c>
      <c r="B48" s="50">
        <f>L17*(1500/H17)^2</f>
        <v>2.752586225315953</v>
      </c>
      <c r="C48" s="49">
        <f>M17*(1500/H17)^3</f>
        <v>118.41578128663245</v>
      </c>
      <c r="D48" s="49">
        <f>N17*(1500/H17)^3</f>
        <v>325.5026188121559</v>
      </c>
      <c r="E48" s="54">
        <f>C48/D48</f>
        <v>0.36379363618874272</v>
      </c>
      <c r="F48" s="5"/>
      <c r="G48" s="25"/>
      <c r="H48" s="9" t="s">
        <v>106</v>
      </c>
      <c r="I48" s="9" t="s">
        <v>72</v>
      </c>
      <c r="J48" s="9" t="s">
        <v>72</v>
      </c>
      <c r="K48" s="9" t="s">
        <v>73</v>
      </c>
      <c r="L48" s="9" t="s">
        <v>13</v>
      </c>
    </row>
    <row r="49" spans="1:14" x14ac:dyDescent="0.3">
      <c r="A49" s="49">
        <f t="shared" si="18"/>
        <v>14.178544636159041</v>
      </c>
      <c r="B49" s="50">
        <f t="shared" ref="B49:B57" si="19">L18*(1500/H18)^2</f>
        <v>3.7107374428527651</v>
      </c>
      <c r="C49" s="49">
        <f t="shared" ref="C49:C57" si="20">M18*(1500/H18)^3</f>
        <v>143.11196781039283</v>
      </c>
      <c r="D49" s="49">
        <f t="shared" ref="D49:D57" si="21">N18*(1500/H18)^3</f>
        <v>324.3940953389249</v>
      </c>
      <c r="E49" s="54">
        <f t="shared" ref="E49:E57" si="22">C49/D49</f>
        <v>0.44116699368670798</v>
      </c>
      <c r="F49" s="5"/>
      <c r="G49" s="18"/>
      <c r="H49" s="9"/>
      <c r="I49" s="9"/>
      <c r="J49" s="9"/>
      <c r="K49" s="9"/>
    </row>
    <row r="50" spans="1:14" x14ac:dyDescent="0.3">
      <c r="A50" s="49">
        <f t="shared" si="18"/>
        <v>13.150007492881763</v>
      </c>
      <c r="B50" s="50">
        <f t="shared" si="19"/>
        <v>4.1201278686292948</v>
      </c>
      <c r="C50" s="49">
        <f t="shared" si="20"/>
        <v>147.37396464864156</v>
      </c>
      <c r="D50" s="49">
        <f t="shared" si="21"/>
        <v>318.95124444332646</v>
      </c>
      <c r="E50" s="54">
        <f t="shared" si="22"/>
        <v>0.46205797035172885</v>
      </c>
      <c r="F50" s="5"/>
      <c r="G50" s="18"/>
      <c r="H50" s="11">
        <v>0</v>
      </c>
      <c r="I50" s="50">
        <f t="shared" ref="I50:I57" si="23">(H50/3600)/(π*PumphjulsDiam*PumphjulsÖppning)</f>
        <v>0</v>
      </c>
      <c r="J50" s="50">
        <f t="shared" ref="J50:J57" si="24">Euler_u2-(I50/TAN(RADIANS(Skovelvinkel)))</f>
        <v>8.6142470561432134</v>
      </c>
      <c r="K50" s="49">
        <f t="shared" ref="K50:K57" si="25">Euler_u2*J50</f>
        <v>74.205252344272012</v>
      </c>
      <c r="L50" s="51">
        <f t="shared" ref="L50:L57" si="26">K50/Tyngdacc</f>
        <v>7.5642459066536194</v>
      </c>
    </row>
    <row r="51" spans="1:14" x14ac:dyDescent="0.3">
      <c r="A51" s="49">
        <f t="shared" si="18"/>
        <v>11.932584269662922</v>
      </c>
      <c r="B51" s="50">
        <f t="shared" si="19"/>
        <v>4.51365439221071</v>
      </c>
      <c r="C51" s="49">
        <f t="shared" si="20"/>
        <v>146.50312366412558</v>
      </c>
      <c r="D51" s="49">
        <f t="shared" si="21"/>
        <v>313.67354324683527</v>
      </c>
      <c r="E51" s="54">
        <f t="shared" si="22"/>
        <v>0.4670560422395576</v>
      </c>
      <c r="F51" s="5"/>
      <c r="H51" s="11">
        <v>2</v>
      </c>
      <c r="I51" s="50">
        <f t="shared" si="23"/>
        <v>0.14174207136658207</v>
      </c>
      <c r="J51" s="50">
        <f t="shared" si="24"/>
        <v>8.310280203170219</v>
      </c>
      <c r="K51" s="49">
        <f t="shared" si="25"/>
        <v>71.586806775884284</v>
      </c>
      <c r="L51" s="51">
        <f t="shared" si="26"/>
        <v>7.2973299465733215</v>
      </c>
    </row>
    <row r="52" spans="1:14" x14ac:dyDescent="0.3">
      <c r="A52" s="49">
        <f t="shared" si="18"/>
        <v>9.5737533592117057</v>
      </c>
      <c r="B52" s="50">
        <f t="shared" si="19"/>
        <v>5.2208162566808838</v>
      </c>
      <c r="C52" s="49">
        <f t="shared" si="20"/>
        <v>135.95798388329555</v>
      </c>
      <c r="D52" s="49">
        <f t="shared" si="21"/>
        <v>293.84198306473814</v>
      </c>
      <c r="E52" s="54">
        <f t="shared" si="22"/>
        <v>0.46269080566796272</v>
      </c>
      <c r="F52" s="5"/>
      <c r="G52" s="18"/>
      <c r="H52" s="11">
        <v>4</v>
      </c>
      <c r="I52" s="50">
        <f t="shared" si="23"/>
        <v>0.28348414273316414</v>
      </c>
      <c r="J52" s="50">
        <f t="shared" si="24"/>
        <v>8.0063133501972228</v>
      </c>
      <c r="K52" s="49">
        <f t="shared" si="25"/>
        <v>68.968361207496528</v>
      </c>
      <c r="L52" s="51">
        <f t="shared" si="26"/>
        <v>7.03041398649302</v>
      </c>
    </row>
    <row r="53" spans="1:14" x14ac:dyDescent="0.3">
      <c r="A53" s="49">
        <f t="shared" si="18"/>
        <v>8.1337399583457319</v>
      </c>
      <c r="B53" s="50">
        <f t="shared" si="19"/>
        <v>5.590884473480398</v>
      </c>
      <c r="C53" s="49">
        <f t="shared" si="20"/>
        <v>123.69577731492515</v>
      </c>
      <c r="D53" s="49">
        <f t="shared" si="21"/>
        <v>277.11831025686899</v>
      </c>
      <c r="E53" s="54">
        <f t="shared" si="22"/>
        <v>0.44636450474985917</v>
      </c>
      <c r="F53" s="5"/>
      <c r="G53" s="18"/>
      <c r="H53" s="11">
        <v>6</v>
      </c>
      <c r="I53" s="50">
        <f t="shared" si="23"/>
        <v>0.42522621409974626</v>
      </c>
      <c r="J53" s="50">
        <f t="shared" si="24"/>
        <v>7.7023464972242284</v>
      </c>
      <c r="K53" s="49">
        <f t="shared" si="25"/>
        <v>66.349915639108801</v>
      </c>
      <c r="L53" s="51">
        <f t="shared" si="26"/>
        <v>6.7634980264127211</v>
      </c>
    </row>
    <row r="54" spans="1:14" x14ac:dyDescent="0.3">
      <c r="A54" s="49">
        <f t="shared" si="18"/>
        <v>7.2171072171072179</v>
      </c>
      <c r="B54" s="50">
        <f t="shared" si="19"/>
        <v>5.7244299008176851</v>
      </c>
      <c r="C54" s="49">
        <f t="shared" si="20"/>
        <v>112.37752704807599</v>
      </c>
      <c r="D54" s="49">
        <f t="shared" si="21"/>
        <v>266.55231576139278</v>
      </c>
      <c r="E54" s="54">
        <f t="shared" si="22"/>
        <v>0.42159651371654921</v>
      </c>
      <c r="F54" s="5"/>
      <c r="G54" s="18"/>
      <c r="H54" s="11">
        <v>8</v>
      </c>
      <c r="I54" s="50">
        <f t="shared" si="23"/>
        <v>0.56696828546632827</v>
      </c>
      <c r="J54" s="50">
        <f t="shared" si="24"/>
        <v>7.3983796442512331</v>
      </c>
      <c r="K54" s="49">
        <f t="shared" si="25"/>
        <v>63.731470070721059</v>
      </c>
      <c r="L54" s="51">
        <f t="shared" si="26"/>
        <v>6.4965820663324214</v>
      </c>
    </row>
    <row r="55" spans="1:14" x14ac:dyDescent="0.3">
      <c r="A55" s="49">
        <f t="shared" si="18"/>
        <v>6.403794841387489</v>
      </c>
      <c r="B55" s="50">
        <f t="shared" si="19"/>
        <v>5.8532992247767801</v>
      </c>
      <c r="C55" s="49">
        <f t="shared" si="20"/>
        <v>101.95821139166755</v>
      </c>
      <c r="D55" s="49">
        <f t="shared" si="21"/>
        <v>256.47468875912216</v>
      </c>
      <c r="E55" s="54">
        <f t="shared" si="22"/>
        <v>0.39753712884870845</v>
      </c>
      <c r="F55" s="5"/>
      <c r="G55" s="18"/>
      <c r="H55" s="11">
        <v>10</v>
      </c>
      <c r="I55" s="50">
        <f t="shared" si="23"/>
        <v>0.70871035683291039</v>
      </c>
      <c r="J55" s="50">
        <f t="shared" si="24"/>
        <v>7.0944127912782378</v>
      </c>
      <c r="K55" s="49">
        <f t="shared" si="25"/>
        <v>61.113024502333317</v>
      </c>
      <c r="L55" s="51">
        <f t="shared" si="26"/>
        <v>6.2296661062521217</v>
      </c>
    </row>
    <row r="56" spans="1:14" x14ac:dyDescent="0.3">
      <c r="A56" s="49">
        <f t="shared" si="18"/>
        <v>5.4886162034299231</v>
      </c>
      <c r="B56" s="50">
        <f t="shared" si="19"/>
        <v>5.9608237918248612</v>
      </c>
      <c r="C56" s="49">
        <f t="shared" si="20"/>
        <v>88.99246149894816</v>
      </c>
      <c r="D56" s="49">
        <f t="shared" si="21"/>
        <v>243.55302267781741</v>
      </c>
      <c r="E56" s="54">
        <f t="shared" si="22"/>
        <v>0.36539255608693999</v>
      </c>
      <c r="F56" s="5"/>
      <c r="H56" s="11">
        <v>12</v>
      </c>
      <c r="I56" s="50">
        <f t="shared" si="23"/>
        <v>0.85045242819949252</v>
      </c>
      <c r="J56" s="50">
        <f t="shared" si="24"/>
        <v>6.7904459383052433</v>
      </c>
      <c r="K56" s="49">
        <f t="shared" si="25"/>
        <v>58.494578933945583</v>
      </c>
      <c r="L56" s="51">
        <f t="shared" si="26"/>
        <v>5.9627501461718229</v>
      </c>
      <c r="M56" s="18"/>
    </row>
    <row r="57" spans="1:14" x14ac:dyDescent="0.3">
      <c r="A57" s="49">
        <f t="shared" si="18"/>
        <v>4.7759433962264151</v>
      </c>
      <c r="B57" s="50">
        <f t="shared" si="19"/>
        <v>5.9702728835822505</v>
      </c>
      <c r="C57" s="49">
        <f t="shared" si="20"/>
        <v>77.559932957587307</v>
      </c>
      <c r="D57" s="49">
        <f t="shared" si="21"/>
        <v>229.80795526139289</v>
      </c>
      <c r="E57" s="54">
        <f t="shared" si="22"/>
        <v>0.33749890367967239</v>
      </c>
      <c r="F57" s="5"/>
      <c r="G57" s="18"/>
      <c r="H57" s="11">
        <v>14</v>
      </c>
      <c r="I57" s="50">
        <f t="shared" si="23"/>
        <v>0.99219449956607453</v>
      </c>
      <c r="J57" s="50">
        <f t="shared" si="24"/>
        <v>6.4864790853322489</v>
      </c>
      <c r="K57" s="49">
        <f t="shared" si="25"/>
        <v>55.876133365557848</v>
      </c>
      <c r="L57" s="51">
        <f t="shared" si="26"/>
        <v>5.6958341860915231</v>
      </c>
      <c r="M57" s="18"/>
    </row>
    <row r="58" spans="1:14" x14ac:dyDescent="0.3">
      <c r="E58" s="5"/>
      <c r="F58" s="5"/>
      <c r="G58" s="18"/>
    </row>
    <row r="59" spans="1:14" x14ac:dyDescent="0.3">
      <c r="A59" s="13" t="s">
        <v>68</v>
      </c>
      <c r="E59" s="5"/>
      <c r="F59" s="5"/>
      <c r="G59" s="23"/>
      <c r="H59" s="13" t="s">
        <v>95</v>
      </c>
      <c r="I59" s="21"/>
    </row>
    <row r="60" spans="1:14" x14ac:dyDescent="0.3">
      <c r="A60" s="9" t="s">
        <v>2</v>
      </c>
      <c r="B60" s="9" t="s">
        <v>12</v>
      </c>
      <c r="C60" s="9" t="s">
        <v>14</v>
      </c>
      <c r="D60" s="9" t="s">
        <v>15</v>
      </c>
      <c r="E60" s="3" t="s">
        <v>19</v>
      </c>
      <c r="F60" s="5"/>
      <c r="H60" s="9" t="s">
        <v>2</v>
      </c>
      <c r="I60" s="9" t="s">
        <v>12</v>
      </c>
      <c r="J60" s="9" t="s">
        <v>14</v>
      </c>
      <c r="K60" s="9" t="s">
        <v>15</v>
      </c>
      <c r="L60" s="3" t="s">
        <v>19</v>
      </c>
      <c r="M60" s="9"/>
      <c r="N60" s="9"/>
    </row>
    <row r="61" spans="1:14" ht="18" x14ac:dyDescent="0.3">
      <c r="A61" s="9" t="s">
        <v>106</v>
      </c>
      <c r="B61" s="9" t="s">
        <v>13</v>
      </c>
      <c r="C61" s="9" t="s">
        <v>16</v>
      </c>
      <c r="D61" s="9" t="s">
        <v>16</v>
      </c>
      <c r="E61" s="16" t="s">
        <v>37</v>
      </c>
      <c r="F61" s="5"/>
      <c r="G61" s="23"/>
      <c r="H61" s="9" t="s">
        <v>106</v>
      </c>
      <c r="I61" s="9" t="s">
        <v>13</v>
      </c>
      <c r="J61" s="9" t="s">
        <v>16</v>
      </c>
      <c r="K61" s="9" t="s">
        <v>16</v>
      </c>
      <c r="L61" s="9" t="s">
        <v>37</v>
      </c>
      <c r="M61" s="9"/>
      <c r="N61" s="9"/>
    </row>
    <row r="62" spans="1:14" x14ac:dyDescent="0.3">
      <c r="A62" s="9"/>
      <c r="B62" s="9"/>
      <c r="C62" s="9"/>
      <c r="D62" s="9"/>
      <c r="F62" s="5"/>
      <c r="G62" s="23"/>
      <c r="H62" s="9"/>
      <c r="I62" s="9"/>
      <c r="J62" s="9"/>
      <c r="K62" s="9"/>
      <c r="L62" s="9"/>
      <c r="M62" s="9"/>
      <c r="N62" s="9"/>
    </row>
    <row r="63" spans="1:14" x14ac:dyDescent="0.3">
      <c r="A63" s="49">
        <f>K32*1200/H32</f>
        <v>12.534631224260577</v>
      </c>
      <c r="B63" s="50">
        <f>L32*(1200/H32)^2</f>
        <v>1.9663252036981085</v>
      </c>
      <c r="C63" s="49">
        <f>M32*(1200/H32)^3</f>
        <v>67.04262020360666</v>
      </c>
      <c r="D63" s="49">
        <f>N32*(1200/H32)^3</f>
        <v>189.75749155312877</v>
      </c>
      <c r="E63" s="54">
        <f>C63/D63</f>
        <v>0.35330684261725659</v>
      </c>
      <c r="F63" s="5"/>
      <c r="G63" s="23"/>
      <c r="H63" s="49">
        <f>K32*1500/H32</f>
        <v>15.66828903032572</v>
      </c>
      <c r="I63" s="50">
        <f>L32*(1500/H32)^2</f>
        <v>3.0723831307782952</v>
      </c>
      <c r="J63" s="49">
        <f>M32*(1500/H32)^3</f>
        <v>130.9426175851693</v>
      </c>
      <c r="K63" s="49">
        <f>N32*(1500/H32)^3</f>
        <v>370.62010068970471</v>
      </c>
      <c r="L63" s="54">
        <f>J63/K63</f>
        <v>0.35330684261725659</v>
      </c>
      <c r="M63" s="29"/>
      <c r="N63" s="29"/>
    </row>
    <row r="64" spans="1:14" x14ac:dyDescent="0.3">
      <c r="A64" s="49">
        <f t="shared" ref="A64:A72" si="27">K33*1200/H33</f>
        <v>11.51084517576664</v>
      </c>
      <c r="B64" s="50">
        <f t="shared" ref="B64:B72" si="28">L33*(1200/H33)^2</f>
        <v>2.2819476845032032</v>
      </c>
      <c r="C64" s="49">
        <f t="shared" ref="C64:C72" si="29">M33*(1200/H33)^3</f>
        <v>71.449133846719377</v>
      </c>
      <c r="D64" s="49">
        <f t="shared" ref="D64:D72" si="30">N33*(1200/H33)^3</f>
        <v>187.64148313595405</v>
      </c>
      <c r="E64" s="54">
        <f t="shared" ref="E64:E72" si="31">C64/D64</f>
        <v>0.38077472343869456</v>
      </c>
      <c r="F64" s="5"/>
      <c r="G64" s="23"/>
      <c r="H64" s="49">
        <f t="shared" ref="H64:H72" si="32">K33*1500/H33</f>
        <v>14.3885564697083</v>
      </c>
      <c r="I64" s="50">
        <f t="shared" ref="I64:I72" si="33">L33*(1500/H33)^2</f>
        <v>3.5655432570362557</v>
      </c>
      <c r="J64" s="49">
        <f t="shared" ref="J64:J72" si="34">M33*(1500/H33)^3</f>
        <v>139.5490895443738</v>
      </c>
      <c r="K64" s="49">
        <f t="shared" ref="K64:K72" si="35">N33*(1500/H33)^3</f>
        <v>366.48727174991035</v>
      </c>
      <c r="L64" s="54">
        <f t="shared" ref="L64:L72" si="36">J64/K64</f>
        <v>0.38077472343869451</v>
      </c>
      <c r="M64" s="29"/>
      <c r="N64" s="29"/>
    </row>
    <row r="65" spans="1:15" x14ac:dyDescent="0.3">
      <c r="A65" s="49">
        <f t="shared" si="27"/>
        <v>10.594170403587444</v>
      </c>
      <c r="B65" s="50">
        <f t="shared" si="28"/>
        <v>2.6178887948857783</v>
      </c>
      <c r="C65" s="49">
        <f t="shared" si="29"/>
        <v>75.440093938800089</v>
      </c>
      <c r="D65" s="49">
        <f t="shared" si="30"/>
        <v>183.98523159738065</v>
      </c>
      <c r="E65" s="54">
        <f t="shared" si="31"/>
        <v>0.4100334210730972</v>
      </c>
      <c r="F65" s="5"/>
      <c r="H65" s="49">
        <f t="shared" si="32"/>
        <v>13.242713004484306</v>
      </c>
      <c r="I65" s="50">
        <f t="shared" si="33"/>
        <v>4.0904512420090295</v>
      </c>
      <c r="J65" s="49">
        <f t="shared" si="34"/>
        <v>147.34393347421894</v>
      </c>
      <c r="K65" s="49">
        <f t="shared" si="35"/>
        <v>359.3461554636342</v>
      </c>
      <c r="L65" s="54">
        <f t="shared" si="36"/>
        <v>0.41003342107309709</v>
      </c>
      <c r="M65" s="29"/>
      <c r="N65" s="29"/>
    </row>
    <row r="66" spans="1:15" x14ac:dyDescent="0.3">
      <c r="A66" s="49">
        <f t="shared" si="27"/>
        <v>9.6446511627906961</v>
      </c>
      <c r="B66" s="50">
        <f t="shared" si="28"/>
        <v>2.9253697800234133</v>
      </c>
      <c r="C66" s="49">
        <f t="shared" si="29"/>
        <v>76.745225603597774</v>
      </c>
      <c r="D66" s="49">
        <f t="shared" si="30"/>
        <v>178.39757347520501</v>
      </c>
      <c r="E66" s="54">
        <f t="shared" si="31"/>
        <v>0.43019209347185644</v>
      </c>
      <c r="F66" s="5"/>
      <c r="G66" s="23"/>
      <c r="H66" s="49">
        <f t="shared" si="32"/>
        <v>12.055813953488371</v>
      </c>
      <c r="I66" s="50">
        <f t="shared" si="33"/>
        <v>4.5708902812865828</v>
      </c>
      <c r="J66" s="49">
        <f t="shared" si="34"/>
        <v>149.89301875702688</v>
      </c>
      <c r="K66" s="49">
        <f t="shared" si="35"/>
        <v>348.43276069375975</v>
      </c>
      <c r="L66" s="54">
        <f t="shared" si="36"/>
        <v>0.43019209347185644</v>
      </c>
      <c r="M66" s="29"/>
      <c r="N66" s="29"/>
    </row>
    <row r="67" spans="1:15" x14ac:dyDescent="0.3">
      <c r="A67" s="49">
        <f t="shared" si="27"/>
        <v>8.7502328180294278</v>
      </c>
      <c r="B67" s="50">
        <f t="shared" si="28"/>
        <v>3.173213777684369</v>
      </c>
      <c r="C67" s="49">
        <f t="shared" si="29"/>
        <v>75.527135198374907</v>
      </c>
      <c r="D67" s="49">
        <f t="shared" si="30"/>
        <v>176.11289918584961</v>
      </c>
      <c r="E67" s="54">
        <f t="shared" si="31"/>
        <v>0.42885635037256481</v>
      </c>
      <c r="F67" s="5"/>
      <c r="G67" s="23"/>
      <c r="H67" s="49">
        <f t="shared" si="32"/>
        <v>10.937791022536784</v>
      </c>
      <c r="I67" s="50">
        <f t="shared" si="33"/>
        <v>4.9581465276318264</v>
      </c>
      <c r="J67" s="49">
        <f t="shared" si="34"/>
        <v>147.51393593432596</v>
      </c>
      <c r="K67" s="49">
        <f t="shared" si="35"/>
        <v>343.97050622236247</v>
      </c>
      <c r="L67" s="54">
        <f t="shared" si="36"/>
        <v>0.42885635037256481</v>
      </c>
      <c r="M67" s="29"/>
      <c r="N67" s="29"/>
    </row>
    <row r="68" spans="1:15" x14ac:dyDescent="0.3">
      <c r="A68" s="49">
        <f t="shared" si="27"/>
        <v>7.9396984924623117</v>
      </c>
      <c r="B68" s="50">
        <f t="shared" si="28"/>
        <v>3.3238741172967523</v>
      </c>
      <c r="C68" s="49">
        <f t="shared" si="29"/>
        <v>71.784825728640854</v>
      </c>
      <c r="D68" s="49">
        <f t="shared" si="30"/>
        <v>170.82646976357563</v>
      </c>
      <c r="E68" s="54">
        <f t="shared" si="31"/>
        <v>0.42022074112982183</v>
      </c>
      <c r="F68" s="5"/>
      <c r="G68" s="23"/>
      <c r="H68" s="49">
        <f t="shared" si="32"/>
        <v>9.924623115577889</v>
      </c>
      <c r="I68" s="50">
        <f t="shared" si="33"/>
        <v>5.1935533082761784</v>
      </c>
      <c r="J68" s="49">
        <f t="shared" si="34"/>
        <v>140.20473775125174</v>
      </c>
      <c r="K68" s="49">
        <f t="shared" si="35"/>
        <v>333.64544875698391</v>
      </c>
      <c r="L68" s="54">
        <f t="shared" si="36"/>
        <v>0.42022074112982172</v>
      </c>
      <c r="M68" s="29"/>
      <c r="N68" s="29"/>
    </row>
    <row r="69" spans="1:15" x14ac:dyDescent="0.3">
      <c r="A69" s="49">
        <f t="shared" si="27"/>
        <v>7.0208023774145607</v>
      </c>
      <c r="B69" s="50">
        <f t="shared" si="28"/>
        <v>3.4647597627201172</v>
      </c>
      <c r="C69" s="49">
        <f t="shared" si="29"/>
        <v>66.167381448019967</v>
      </c>
      <c r="D69" s="49">
        <f t="shared" si="30"/>
        <v>166.79328912570776</v>
      </c>
      <c r="E69" s="54">
        <f t="shared" si="31"/>
        <v>0.39670289970810119</v>
      </c>
      <c r="F69" s="5"/>
      <c r="H69" s="49">
        <f t="shared" si="32"/>
        <v>8.776002971768202</v>
      </c>
      <c r="I69" s="50">
        <f t="shared" si="33"/>
        <v>5.4136871292501807</v>
      </c>
      <c r="J69" s="49">
        <f t="shared" si="34"/>
        <v>129.23316689066394</v>
      </c>
      <c r="K69" s="49">
        <f t="shared" si="35"/>
        <v>325.76814282364779</v>
      </c>
      <c r="L69" s="54">
        <f t="shared" si="36"/>
        <v>0.39670289970810119</v>
      </c>
      <c r="M69" s="29"/>
      <c r="N69" s="29"/>
    </row>
    <row r="70" spans="1:15" x14ac:dyDescent="0.3">
      <c r="A70" s="49">
        <f t="shared" si="27"/>
        <v>6.2068965517241379</v>
      </c>
      <c r="B70" s="50">
        <f t="shared" si="28"/>
        <v>3.6122556188811572</v>
      </c>
      <c r="C70" s="49">
        <f t="shared" si="29"/>
        <v>60.986969675010265</v>
      </c>
      <c r="D70" s="49">
        <f t="shared" si="30"/>
        <v>160.525457955365</v>
      </c>
      <c r="E70" s="54">
        <f t="shared" si="31"/>
        <v>0.37992085773689577</v>
      </c>
      <c r="F70" s="5"/>
      <c r="G70" s="23"/>
      <c r="H70" s="49">
        <f t="shared" si="32"/>
        <v>7.7586206896551717</v>
      </c>
      <c r="I70" s="50">
        <f t="shared" si="33"/>
        <v>5.6441494045018077</v>
      </c>
      <c r="J70" s="49">
        <f t="shared" si="34"/>
        <v>119.11517514650441</v>
      </c>
      <c r="K70" s="49">
        <f t="shared" si="35"/>
        <v>313.52628506907223</v>
      </c>
      <c r="L70" s="54">
        <f t="shared" si="36"/>
        <v>0.37992085773689577</v>
      </c>
      <c r="M70" s="29"/>
      <c r="N70" s="29"/>
    </row>
    <row r="71" spans="1:15" x14ac:dyDescent="0.3">
      <c r="A71" s="49">
        <f t="shared" si="27"/>
        <v>5.3960029607697999</v>
      </c>
      <c r="B71" s="50">
        <f t="shared" si="28"/>
        <v>3.6595532365987649</v>
      </c>
      <c r="C71" s="49">
        <f t="shared" si="29"/>
        <v>53.713607432615539</v>
      </c>
      <c r="D71" s="49">
        <f t="shared" si="30"/>
        <v>152.64722575471987</v>
      </c>
      <c r="E71" s="54">
        <f t="shared" si="31"/>
        <v>0.35188066580996941</v>
      </c>
      <c r="F71" s="5"/>
      <c r="G71" s="23"/>
      <c r="H71" s="49">
        <f t="shared" si="32"/>
        <v>6.7450037009622505</v>
      </c>
      <c r="I71" s="50">
        <f t="shared" si="33"/>
        <v>5.7180519321855678</v>
      </c>
      <c r="J71" s="49">
        <f t="shared" si="34"/>
        <v>104.90938951682719</v>
      </c>
      <c r="K71" s="49">
        <f t="shared" si="35"/>
        <v>298.13911280218713</v>
      </c>
      <c r="L71" s="54">
        <f t="shared" si="36"/>
        <v>0.35188066580996946</v>
      </c>
      <c r="M71" s="29"/>
      <c r="N71" s="29"/>
    </row>
    <row r="72" spans="1:15" x14ac:dyDescent="0.3">
      <c r="A72" s="49">
        <f t="shared" si="27"/>
        <v>4.3853820598006648</v>
      </c>
      <c r="B72" s="50">
        <f t="shared" si="28"/>
        <v>3.7809945534652827</v>
      </c>
      <c r="C72" s="49">
        <f t="shared" si="29"/>
        <v>45.102182662720132</v>
      </c>
      <c r="D72" s="49">
        <f t="shared" si="30"/>
        <v>144.94169844933728</v>
      </c>
      <c r="E72" s="54">
        <f t="shared" si="31"/>
        <v>0.31117465260340582</v>
      </c>
      <c r="F72" s="5"/>
      <c r="G72" s="23"/>
      <c r="H72" s="49">
        <f t="shared" si="32"/>
        <v>5.4817275747508312</v>
      </c>
      <c r="I72" s="50">
        <f t="shared" si="33"/>
        <v>5.9078039897895049</v>
      </c>
      <c r="J72" s="49">
        <f t="shared" si="34"/>
        <v>88.090200513125268</v>
      </c>
      <c r="K72" s="49">
        <f t="shared" si="35"/>
        <v>283.08925478386192</v>
      </c>
      <c r="L72" s="54">
        <f t="shared" si="36"/>
        <v>0.31117465260340582</v>
      </c>
      <c r="M72" s="29"/>
      <c r="N72" s="29"/>
      <c r="O72" s="30"/>
    </row>
    <row r="73" spans="1:15" x14ac:dyDescent="0.3">
      <c r="E73" s="5"/>
      <c r="F73" s="5"/>
      <c r="G73" s="23"/>
      <c r="H73" s="24"/>
      <c r="I73" s="25"/>
      <c r="O73" s="5"/>
    </row>
    <row r="74" spans="1:15" x14ac:dyDescent="0.3">
      <c r="E74" s="5"/>
      <c r="F74" s="5"/>
      <c r="G74" s="18"/>
      <c r="H74" s="18"/>
      <c r="I74" s="18"/>
      <c r="O74" s="5"/>
    </row>
    <row r="75" spans="1:15" x14ac:dyDescent="0.3">
      <c r="O75" s="5"/>
    </row>
    <row r="76" spans="1:15" x14ac:dyDescent="0.3">
      <c r="A76" s="13" t="s">
        <v>67</v>
      </c>
      <c r="O76" s="5"/>
    </row>
    <row r="77" spans="1:15" x14ac:dyDescent="0.3">
      <c r="A77" s="5" t="s">
        <v>20</v>
      </c>
      <c r="B77" s="31">
        <v>0.06</v>
      </c>
      <c r="C77" s="3" t="s">
        <v>13</v>
      </c>
      <c r="D77" s="5" t="s">
        <v>22</v>
      </c>
      <c r="E77" s="31">
        <v>5</v>
      </c>
      <c r="F77" s="3" t="s">
        <v>13</v>
      </c>
      <c r="G77" s="5" t="s">
        <v>3</v>
      </c>
      <c r="H77" s="31">
        <v>2</v>
      </c>
      <c r="I77" s="3" t="s">
        <v>13</v>
      </c>
      <c r="O77" s="5"/>
    </row>
    <row r="78" spans="1:15" x14ac:dyDescent="0.3">
      <c r="A78" s="5" t="s">
        <v>21</v>
      </c>
      <c r="B78" s="31">
        <v>0.05</v>
      </c>
      <c r="C78" s="3" t="s">
        <v>13</v>
      </c>
      <c r="D78" s="5" t="s">
        <v>23</v>
      </c>
      <c r="E78" s="31">
        <v>20</v>
      </c>
      <c r="F78" s="3" t="s">
        <v>13</v>
      </c>
      <c r="G78" s="5" t="s">
        <v>111</v>
      </c>
      <c r="H78" s="60">
        <f>0.5+(2*0.3)+(2*1.1)</f>
        <v>3.3000000000000003</v>
      </c>
      <c r="I78" s="32" t="s">
        <v>30</v>
      </c>
      <c r="O78" s="5"/>
    </row>
    <row r="79" spans="1:15" x14ac:dyDescent="0.3">
      <c r="A79" s="5" t="s">
        <v>94</v>
      </c>
      <c r="B79" s="31">
        <v>1E-4</v>
      </c>
      <c r="C79" s="3" t="s">
        <v>13</v>
      </c>
      <c r="D79" s="5" t="s">
        <v>31</v>
      </c>
      <c r="E79" s="31">
        <v>1.005E-3</v>
      </c>
      <c r="F79" s="33" t="s">
        <v>41</v>
      </c>
      <c r="G79" s="5" t="s">
        <v>74</v>
      </c>
      <c r="H79" s="7">
        <f>0.5+2+(3*0.3)+1.1+1.05</f>
        <v>5.55</v>
      </c>
      <c r="I79" s="34" t="s">
        <v>30</v>
      </c>
      <c r="O79" s="5"/>
    </row>
    <row r="80" spans="1:15" x14ac:dyDescent="0.3">
      <c r="I80" s="4" t="s">
        <v>69</v>
      </c>
      <c r="O80" s="5"/>
    </row>
    <row r="81" spans="1:15" x14ac:dyDescent="0.3">
      <c r="A81" s="9" t="s">
        <v>2</v>
      </c>
      <c r="B81" s="9" t="s">
        <v>24</v>
      </c>
      <c r="C81" s="9" t="s">
        <v>25</v>
      </c>
      <c r="D81" s="9" t="s">
        <v>26</v>
      </c>
      <c r="E81" s="9" t="s">
        <v>27</v>
      </c>
      <c r="F81" s="9" t="s">
        <v>28</v>
      </c>
      <c r="G81" s="9" t="s">
        <v>29</v>
      </c>
      <c r="H81" s="9" t="s">
        <v>38</v>
      </c>
      <c r="I81" s="9" t="s">
        <v>53</v>
      </c>
      <c r="K81" s="5"/>
      <c r="O81" s="5"/>
    </row>
    <row r="82" spans="1:15" ht="18" x14ac:dyDescent="0.3">
      <c r="A82" s="9" t="s">
        <v>106</v>
      </c>
      <c r="B82" s="16" t="s">
        <v>30</v>
      </c>
      <c r="C82" s="16" t="s">
        <v>30</v>
      </c>
      <c r="D82" s="16" t="s">
        <v>30</v>
      </c>
      <c r="E82" s="16" t="s">
        <v>30</v>
      </c>
      <c r="F82" s="9" t="s">
        <v>13</v>
      </c>
      <c r="G82" s="9" t="s">
        <v>13</v>
      </c>
      <c r="H82" s="9" t="s">
        <v>13</v>
      </c>
      <c r="I82" s="9" t="s">
        <v>13</v>
      </c>
      <c r="K82" s="5"/>
      <c r="O82" s="5"/>
    </row>
    <row r="83" spans="1:15" x14ac:dyDescent="0.3">
      <c r="A83" s="9"/>
      <c r="B83" s="9"/>
      <c r="C83" s="9"/>
      <c r="D83" s="9"/>
      <c r="E83" s="9"/>
      <c r="F83" s="9"/>
      <c r="G83" s="9"/>
      <c r="H83" s="9"/>
      <c r="I83" s="9"/>
      <c r="O83" s="5"/>
    </row>
    <row r="84" spans="1:15" x14ac:dyDescent="0.3">
      <c r="A84" s="11">
        <v>0.01</v>
      </c>
      <c r="B84" s="35">
        <f t="shared" ref="B84:B98" si="37">(Densitet*((A84/3600)/(((RörDiam_sug/2)^2)*π))*RörDiam_sug)/Dynamisk_viskositet</f>
        <v>58.547434750075531</v>
      </c>
      <c r="C84" s="35">
        <f t="shared" ref="C84:C98" si="38">(Densitet*((A84/3600)/(((RörDiam_tryck/2)^2)*π))*RörDiam_tryck)/Dynamisk_viskositet</f>
        <v>70.256921700090629</v>
      </c>
      <c r="D84" s="55">
        <f t="shared" ref="D84:D98" si="39">8*((8/B84)^12+((-2.457*LN((7/B84)^0.9+0.27*(Ytråhet/RörDiam_sug)))^16+(37530/B84)^16)^-1.5)^(1/12)</f>
        <v>1.0931307284973306</v>
      </c>
      <c r="E84" s="55">
        <f t="shared" ref="E84:E98" si="40">8*((8/C84)^12+((-2.457*LN((7/C84)^0.9+0.27*(Ytråhet/RörDiam_sug)))^16+(37530/C84)^16)^-1.5)^(1/12)</f>
        <v>0.9109422737477757</v>
      </c>
      <c r="F84" s="58">
        <f t="shared" ref="F84:F98" si="41">D84*(RörLängd_sug/RörDiam_sug)*(((A84/3600)/(((RörDiam_sug/2)^2)*π))^2)/(2*Tyngdacc)</f>
        <v>4.481280076578404E-6</v>
      </c>
      <c r="G84" s="57">
        <f t="shared" ref="G84:G98" si="42">E84*(RörLängd_tryck/RörDiam_tryck)*(((A84/3600)/(((RörDiam_tryck/2)^2)*π))^2)/(2*Tyngdacc)</f>
        <v>3.7169529467171911E-5</v>
      </c>
      <c r="H84" s="57">
        <f t="shared" ref="H84:H98" si="43">H_stat+F84+G84+Engångs_sug*(((A84/3600)/(((RörDiam_sug/2)^2)*π))^2)/(2*Tyngdacc)+Engångs_tryck*(((A84/3600)/(((RörDiam_tryck/2)^2)*π))^2)/(2*Tyngdacc)</f>
        <v>2.0000423792963899</v>
      </c>
      <c r="I84" s="58">
        <f t="shared" ref="I84:I98" si="44">(Hpv/Qpv^2)*A84^2</f>
        <v>3.8580104312922285E-6</v>
      </c>
      <c r="K84" s="36"/>
      <c r="O84" s="5"/>
    </row>
    <row r="85" spans="1:15" x14ac:dyDescent="0.3">
      <c r="A85" s="11">
        <v>1</v>
      </c>
      <c r="B85" s="35">
        <f t="shared" si="37"/>
        <v>5854.7434750075527</v>
      </c>
      <c r="C85" s="35">
        <f t="shared" si="38"/>
        <v>7025.6921700090634</v>
      </c>
      <c r="D85" s="55">
        <f t="shared" si="39"/>
        <v>3.8321925128009915E-2</v>
      </c>
      <c r="E85" s="55">
        <f t="shared" si="40"/>
        <v>3.6611859393007894E-2</v>
      </c>
      <c r="F85" s="56">
        <f t="shared" si="41"/>
        <v>1.5710040445789141E-3</v>
      </c>
      <c r="G85" s="55">
        <f t="shared" si="42"/>
        <v>1.4938878409469404E-2</v>
      </c>
      <c r="H85" s="50">
        <f t="shared" si="43"/>
        <v>2.0237947509139773</v>
      </c>
      <c r="I85" s="55">
        <f t="shared" si="44"/>
        <v>3.8580104312922282E-2</v>
      </c>
      <c r="K85" s="36"/>
      <c r="O85" s="5"/>
    </row>
    <row r="86" spans="1:15" x14ac:dyDescent="0.3">
      <c r="A86" s="11">
        <v>2</v>
      </c>
      <c r="B86" s="35">
        <f t="shared" si="37"/>
        <v>11709.486950015105</v>
      </c>
      <c r="C86" s="35">
        <f t="shared" si="38"/>
        <v>14051.384340018127</v>
      </c>
      <c r="D86" s="55">
        <f t="shared" si="39"/>
        <v>3.2620438582158094E-2</v>
      </c>
      <c r="E86" s="55">
        <f t="shared" si="40"/>
        <v>3.1444182088847902E-2</v>
      </c>
      <c r="F86" s="56">
        <f t="shared" si="41"/>
        <v>5.3490883641491745E-3</v>
      </c>
      <c r="G86" s="55">
        <f t="shared" si="42"/>
        <v>5.132116431106204E-2</v>
      </c>
      <c r="H86" s="50">
        <f t="shared" si="43"/>
        <v>2.0858097265149258</v>
      </c>
      <c r="I86" s="50">
        <f t="shared" si="44"/>
        <v>0.15432041725168913</v>
      </c>
      <c r="K86" s="36"/>
      <c r="O86" s="5"/>
    </row>
    <row r="87" spans="1:15" x14ac:dyDescent="0.3">
      <c r="A87" s="11">
        <v>3</v>
      </c>
      <c r="B87" s="35">
        <f t="shared" si="37"/>
        <v>17564.230425022655</v>
      </c>
      <c r="C87" s="35">
        <f t="shared" si="38"/>
        <v>21077.076510027189</v>
      </c>
      <c r="D87" s="55">
        <f t="shared" si="39"/>
        <v>3.0158934944615735E-2</v>
      </c>
      <c r="E87" s="55">
        <f t="shared" si="40"/>
        <v>2.9224396022782723E-2</v>
      </c>
      <c r="F87" s="55">
        <f t="shared" si="41"/>
        <v>1.1127266638595338E-2</v>
      </c>
      <c r="G87" s="55">
        <f t="shared" si="42"/>
        <v>0.10732088875336367</v>
      </c>
      <c r="H87" s="50">
        <f t="shared" si="43"/>
        <v>2.1840119715313184</v>
      </c>
      <c r="I87" s="50">
        <f t="shared" si="44"/>
        <v>0.34722093881630056</v>
      </c>
      <c r="K87" s="36"/>
      <c r="O87" s="5"/>
    </row>
    <row r="88" spans="1:15" x14ac:dyDescent="0.3">
      <c r="A88" s="11">
        <v>4</v>
      </c>
      <c r="B88" s="35">
        <f t="shared" si="37"/>
        <v>23418.973900030211</v>
      </c>
      <c r="C88" s="35">
        <f t="shared" si="38"/>
        <v>28102.768680036253</v>
      </c>
      <c r="D88" s="55">
        <f t="shared" si="39"/>
        <v>2.8728264924052185E-2</v>
      </c>
      <c r="E88" s="55">
        <f t="shared" si="40"/>
        <v>2.794059197957208E-2</v>
      </c>
      <c r="F88" s="55">
        <f t="shared" si="41"/>
        <v>1.8843404234484204E-2</v>
      </c>
      <c r="G88" s="55">
        <f t="shared" si="42"/>
        <v>0.18241132275347408</v>
      </c>
      <c r="H88" s="50">
        <f t="shared" si="43"/>
        <v>2.317812622346819</v>
      </c>
      <c r="I88" s="50">
        <f t="shared" si="44"/>
        <v>0.61728166900675652</v>
      </c>
      <c r="K88" s="36"/>
    </row>
    <row r="89" spans="1:15" x14ac:dyDescent="0.3">
      <c r="A89" s="11">
        <v>5</v>
      </c>
      <c r="B89" s="35">
        <f t="shared" si="37"/>
        <v>29273.717375037762</v>
      </c>
      <c r="C89" s="35">
        <f t="shared" si="38"/>
        <v>35128.460850045311</v>
      </c>
      <c r="D89" s="55">
        <f t="shared" si="39"/>
        <v>2.7775940661754841E-2</v>
      </c>
      <c r="E89" s="55">
        <f t="shared" si="40"/>
        <v>2.7089706830084295E-2</v>
      </c>
      <c r="F89" s="55">
        <f t="shared" si="41"/>
        <v>2.8466807823354017E-2</v>
      </c>
      <c r="G89" s="55">
        <f t="shared" si="42"/>
        <v>0.27633794294540087</v>
      </c>
      <c r="H89" s="50">
        <f t="shared" si="43"/>
        <v>2.4869264622669736</v>
      </c>
      <c r="I89" s="50">
        <f t="shared" si="44"/>
        <v>0.96450260782305708</v>
      </c>
      <c r="K89" s="36"/>
    </row>
    <row r="90" spans="1:15" x14ac:dyDescent="0.3">
      <c r="A90" s="11">
        <v>6</v>
      </c>
      <c r="B90" s="35">
        <f t="shared" si="37"/>
        <v>35128.460850045311</v>
      </c>
      <c r="C90" s="35">
        <f t="shared" si="38"/>
        <v>42154.153020054378</v>
      </c>
      <c r="D90" s="55">
        <f t="shared" si="39"/>
        <v>2.7089706830084295E-2</v>
      </c>
      <c r="E90" s="55">
        <f t="shared" si="40"/>
        <v>2.6478837337398559E-2</v>
      </c>
      <c r="F90" s="55">
        <f t="shared" si="41"/>
        <v>3.9979447764091576E-2</v>
      </c>
      <c r="G90" s="55">
        <f t="shared" si="42"/>
        <v>0.3889534420475288</v>
      </c>
      <c r="H90" s="50">
        <f t="shared" si="43"/>
        <v>2.6911881543690566</v>
      </c>
      <c r="I90" s="50">
        <f t="shared" si="44"/>
        <v>1.3888837552652022</v>
      </c>
      <c r="K90" s="36"/>
    </row>
    <row r="91" spans="1:15" x14ac:dyDescent="0.3">
      <c r="A91" s="11">
        <v>7</v>
      </c>
      <c r="B91" s="35">
        <f t="shared" si="37"/>
        <v>40983.204325052866</v>
      </c>
      <c r="C91" s="35">
        <f t="shared" si="38"/>
        <v>49179.845190063432</v>
      </c>
      <c r="D91" s="55">
        <f t="shared" si="39"/>
        <v>2.6568562047799192E-2</v>
      </c>
      <c r="E91" s="55">
        <f t="shared" si="40"/>
        <v>2.6016407424642111E-2</v>
      </c>
      <c r="F91" s="55">
        <f t="shared" si="41"/>
        <v>5.3369620563667931E-2</v>
      </c>
      <c r="G91" s="55">
        <f t="shared" si="42"/>
        <v>0.52016318556239094</v>
      </c>
      <c r="H91" s="50">
        <f t="shared" si="43"/>
        <v>2.9304913606625691</v>
      </c>
      <c r="I91" s="50">
        <f t="shared" si="44"/>
        <v>1.8904251113331918</v>
      </c>
      <c r="K91" s="36"/>
    </row>
    <row r="92" spans="1:15" x14ac:dyDescent="0.3">
      <c r="A92" s="11">
        <v>8</v>
      </c>
      <c r="B92" s="35">
        <f t="shared" si="37"/>
        <v>46837.947800060421</v>
      </c>
      <c r="C92" s="35">
        <f t="shared" si="38"/>
        <v>56205.537360072507</v>
      </c>
      <c r="D92" s="55">
        <f t="shared" si="39"/>
        <v>2.6157666398074673E-2</v>
      </c>
      <c r="E92" s="55">
        <f t="shared" si="40"/>
        <v>2.5652817623557908E-2</v>
      </c>
      <c r="F92" s="55">
        <f t="shared" si="41"/>
        <v>6.8629203061551403E-2</v>
      </c>
      <c r="G92" s="55">
        <f t="shared" si="42"/>
        <v>0.6699019689329424</v>
      </c>
      <c r="H92" s="50">
        <f t="shared" si="43"/>
        <v>3.204762753429935</v>
      </c>
      <c r="I92" s="50">
        <f t="shared" si="44"/>
        <v>2.4691266760270261</v>
      </c>
      <c r="K92" s="36"/>
    </row>
    <row r="93" spans="1:15" x14ac:dyDescent="0.3">
      <c r="A93" s="11">
        <v>9</v>
      </c>
      <c r="B93" s="35">
        <f t="shared" si="37"/>
        <v>52692.691275067969</v>
      </c>
      <c r="C93" s="35">
        <f t="shared" si="38"/>
        <v>63231.22953008156</v>
      </c>
      <c r="D93" s="55">
        <f t="shared" si="39"/>
        <v>2.5824424473964859E-2</v>
      </c>
      <c r="E93" s="55">
        <f t="shared" si="40"/>
        <v>2.5358659128890969E-2</v>
      </c>
      <c r="F93" s="55">
        <f t="shared" si="41"/>
        <v>8.57522759653149E-2</v>
      </c>
      <c r="G93" s="55">
        <f t="shared" si="42"/>
        <v>0.83812252265746989</v>
      </c>
      <c r="H93" s="50">
        <f t="shared" si="43"/>
        <v>3.5139491438770154</v>
      </c>
      <c r="I93" s="50">
        <f t="shared" si="44"/>
        <v>3.1249884493467048</v>
      </c>
      <c r="K93" s="36"/>
    </row>
    <row r="94" spans="1:15" x14ac:dyDescent="0.3">
      <c r="A94" s="37">
        <v>10</v>
      </c>
      <c r="B94" s="35">
        <f t="shared" si="37"/>
        <v>58547.434750075525</v>
      </c>
      <c r="C94" s="35">
        <f t="shared" si="38"/>
        <v>70256.921700090621</v>
      </c>
      <c r="D94" s="55">
        <f t="shared" si="39"/>
        <v>2.5548135310566166E-2</v>
      </c>
      <c r="E94" s="55">
        <f t="shared" si="40"/>
        <v>2.5115298425681609E-2</v>
      </c>
      <c r="F94" s="55">
        <f t="shared" si="41"/>
        <v>0.1047343623011591</v>
      </c>
      <c r="G94" s="50">
        <f t="shared" si="42"/>
        <v>1.0247892229981916</v>
      </c>
      <c r="H94" s="59">
        <f t="shared" si="43"/>
        <v>3.8580104312922283</v>
      </c>
      <c r="I94" s="50">
        <f t="shared" si="44"/>
        <v>3.8580104312922283</v>
      </c>
      <c r="K94" s="36"/>
    </row>
    <row r="95" spans="1:15" x14ac:dyDescent="0.3">
      <c r="A95" s="11">
        <v>11</v>
      </c>
      <c r="B95" s="35">
        <f t="shared" si="37"/>
        <v>64402.178225083073</v>
      </c>
      <c r="C95" s="35">
        <f t="shared" si="38"/>
        <v>77282.613870099696</v>
      </c>
      <c r="D95" s="55">
        <f t="shared" si="39"/>
        <v>2.5314967129198923E-2</v>
      </c>
      <c r="E95" s="55">
        <f t="shared" si="40"/>
        <v>2.4910312727500619E-2</v>
      </c>
      <c r="F95" s="55">
        <f t="shared" si="41"/>
        <v>0.12557197451527682</v>
      </c>
      <c r="G95" s="50">
        <f t="shared" si="42"/>
        <v>1.2298743859738575</v>
      </c>
      <c r="H95" s="50">
        <f t="shared" si="43"/>
        <v>4.2369154441405161</v>
      </c>
      <c r="I95" s="50">
        <f t="shared" si="44"/>
        <v>4.6681926218635965</v>
      </c>
      <c r="K95" s="36"/>
    </row>
    <row r="96" spans="1:15" x14ac:dyDescent="0.3">
      <c r="A96" s="11">
        <v>12</v>
      </c>
      <c r="B96" s="35">
        <f t="shared" si="37"/>
        <v>70256.921700090621</v>
      </c>
      <c r="C96" s="35">
        <f t="shared" si="38"/>
        <v>84308.306040108757</v>
      </c>
      <c r="D96" s="55">
        <f t="shared" si="39"/>
        <v>2.5115298425681609E-2</v>
      </c>
      <c r="E96" s="55">
        <f t="shared" si="40"/>
        <v>2.4735078652284546E-2</v>
      </c>
      <c r="F96" s="55">
        <f t="shared" si="41"/>
        <v>0.14826232971617359</v>
      </c>
      <c r="G96" s="50">
        <f t="shared" si="42"/>
        <v>1.453355954951099</v>
      </c>
      <c r="H96" s="50">
        <f t="shared" si="43"/>
        <v>4.6506393428970156</v>
      </c>
      <c r="I96" s="50">
        <f t="shared" si="44"/>
        <v>5.555535021060809</v>
      </c>
      <c r="K96" s="36"/>
    </row>
    <row r="97" spans="1:11" x14ac:dyDescent="0.3">
      <c r="A97" s="11">
        <v>13</v>
      </c>
      <c r="B97" s="35">
        <f t="shared" si="37"/>
        <v>76111.665175098169</v>
      </c>
      <c r="C97" s="35">
        <f t="shared" si="38"/>
        <v>91333.998210117803</v>
      </c>
      <c r="D97" s="55">
        <f t="shared" si="39"/>
        <v>2.4942213741927205E-2</v>
      </c>
      <c r="E97" s="55">
        <f t="shared" si="40"/>
        <v>2.4583410261233431E-2</v>
      </c>
      <c r="F97" s="55">
        <f t="shared" si="41"/>
        <v>0.17280316249756403</v>
      </c>
      <c r="G97" s="50">
        <f t="shared" si="42"/>
        <v>1.695215990262547</v>
      </c>
      <c r="H97" s="50">
        <f t="shared" si="43"/>
        <v>5.099161922488074</v>
      </c>
      <c r="I97" s="50">
        <f t="shared" si="44"/>
        <v>6.5200376288838653</v>
      </c>
      <c r="K97" s="36"/>
    </row>
    <row r="98" spans="1:11" x14ac:dyDescent="0.3">
      <c r="A98" s="11">
        <v>14</v>
      </c>
      <c r="B98" s="35">
        <f t="shared" si="37"/>
        <v>81966.408650105732</v>
      </c>
      <c r="C98" s="35">
        <f t="shared" si="38"/>
        <v>98359.690380126864</v>
      </c>
      <c r="D98" s="55">
        <f t="shared" si="39"/>
        <v>2.4790605712953471E-2</v>
      </c>
      <c r="E98" s="55">
        <f t="shared" si="40"/>
        <v>2.4450747337404773E-2</v>
      </c>
      <c r="F98" s="55">
        <f t="shared" si="41"/>
        <v>0.19919259733568023</v>
      </c>
      <c r="G98" s="50">
        <f t="shared" si="42"/>
        <v>1.9554396449617522</v>
      </c>
      <c r="H98" s="50">
        <f t="shared" si="43"/>
        <v>5.5824664604434719</v>
      </c>
      <c r="I98" s="50">
        <f t="shared" si="44"/>
        <v>7.5617004453327672</v>
      </c>
      <c r="K98" s="36"/>
    </row>
    <row r="105" spans="1:11" x14ac:dyDescent="0.3">
      <c r="A105" s="38" t="s">
        <v>42</v>
      </c>
    </row>
    <row r="106" spans="1:11" x14ac:dyDescent="0.3">
      <c r="A106" s="39" t="s">
        <v>112</v>
      </c>
    </row>
    <row r="107" spans="1:11" x14ac:dyDescent="0.3">
      <c r="A107" s="40" t="s">
        <v>117</v>
      </c>
    </row>
    <row r="108" spans="1:11" x14ac:dyDescent="0.3">
      <c r="A108" s="3" t="s">
        <v>118</v>
      </c>
    </row>
    <row r="126" spans="1:1" x14ac:dyDescent="0.3">
      <c r="A126" s="38" t="s">
        <v>56</v>
      </c>
    </row>
    <row r="127" spans="1:1" x14ac:dyDescent="0.3">
      <c r="A127" s="39" t="s">
        <v>43</v>
      </c>
    </row>
    <row r="128" spans="1:1" x14ac:dyDescent="0.3">
      <c r="A128" s="40" t="s">
        <v>86</v>
      </c>
    </row>
    <row r="129" spans="1:1" x14ac:dyDescent="0.3">
      <c r="A129" s="3" t="s">
        <v>119</v>
      </c>
    </row>
    <row r="144" spans="1:1" ht="69.75" customHeight="1" x14ac:dyDescent="0.3"/>
    <row r="145" spans="1:3" x14ac:dyDescent="0.3">
      <c r="A145" s="41" t="s">
        <v>114</v>
      </c>
    </row>
    <row r="146" spans="1:3" x14ac:dyDescent="0.3">
      <c r="A146" s="42" t="s">
        <v>44</v>
      </c>
    </row>
    <row r="147" spans="1:3" x14ac:dyDescent="0.3">
      <c r="A147" s="40"/>
    </row>
    <row r="150" spans="1:3" x14ac:dyDescent="0.3">
      <c r="B150" s="9" t="s">
        <v>2</v>
      </c>
      <c r="C150" s="9" t="s">
        <v>87</v>
      </c>
    </row>
    <row r="151" spans="1:3" ht="18" x14ac:dyDescent="0.3">
      <c r="B151" s="9" t="s">
        <v>106</v>
      </c>
      <c r="C151" s="9" t="s">
        <v>13</v>
      </c>
    </row>
    <row r="152" spans="1:3" x14ac:dyDescent="0.3">
      <c r="B152" s="9"/>
      <c r="C152" s="9"/>
    </row>
    <row r="153" spans="1:3" x14ac:dyDescent="0.3">
      <c r="A153" s="3">
        <v>1200</v>
      </c>
      <c r="B153" s="61">
        <v>8.1999999999999993</v>
      </c>
      <c r="C153" s="62">
        <v>3.25</v>
      </c>
    </row>
    <row r="154" spans="1:3" x14ac:dyDescent="0.3">
      <c r="A154" s="3">
        <v>1500</v>
      </c>
      <c r="B154" s="61">
        <v>11.85</v>
      </c>
      <c r="C154" s="62">
        <v>4.5999999999999996</v>
      </c>
    </row>
    <row r="159" spans="1:3" ht="51.75" customHeight="1" x14ac:dyDescent="0.3"/>
    <row r="160" spans="1:3" x14ac:dyDescent="0.3">
      <c r="A160" s="41" t="s">
        <v>55</v>
      </c>
    </row>
    <row r="161" spans="1:5" x14ac:dyDescent="0.3">
      <c r="A161" s="39" t="s">
        <v>45</v>
      </c>
    </row>
    <row r="163" spans="1:5" x14ac:dyDescent="0.3">
      <c r="B163" s="9" t="s">
        <v>2</v>
      </c>
      <c r="C163" s="9" t="s">
        <v>102</v>
      </c>
    </row>
    <row r="164" spans="1:5" ht="18" x14ac:dyDescent="0.3">
      <c r="B164" s="9" t="s">
        <v>106</v>
      </c>
      <c r="C164" s="9" t="s">
        <v>13</v>
      </c>
    </row>
    <row r="166" spans="1:5" x14ac:dyDescent="0.3">
      <c r="A166" s="5" t="s">
        <v>101</v>
      </c>
      <c r="B166" s="43">
        <f>Qpv</f>
        <v>10</v>
      </c>
      <c r="C166" s="44">
        <f>Hpv</f>
        <v>3.8580104312922283</v>
      </c>
      <c r="D166" s="45"/>
      <c r="E166" s="9"/>
    </row>
    <row r="168" spans="1:5" x14ac:dyDescent="0.3">
      <c r="A168" s="9" t="s">
        <v>96</v>
      </c>
      <c r="B168" s="9" t="s">
        <v>97</v>
      </c>
      <c r="C168" s="9" t="s">
        <v>98</v>
      </c>
      <c r="D168" s="9" t="s">
        <v>99</v>
      </c>
      <c r="E168" s="9" t="s">
        <v>100</v>
      </c>
    </row>
    <row r="169" spans="1:5" ht="18" x14ac:dyDescent="0.3">
      <c r="A169" s="9" t="s">
        <v>11</v>
      </c>
      <c r="B169" s="9" t="s">
        <v>106</v>
      </c>
      <c r="C169" s="9" t="s">
        <v>13</v>
      </c>
      <c r="D169" s="9" t="s">
        <v>11</v>
      </c>
      <c r="E169" s="9" t="s">
        <v>11</v>
      </c>
    </row>
    <row r="170" spans="1:5" x14ac:dyDescent="0.3">
      <c r="A170" s="9"/>
    </row>
    <row r="171" spans="1:5" x14ac:dyDescent="0.3">
      <c r="A171" s="9">
        <v>1200</v>
      </c>
      <c r="B171" s="61">
        <v>9</v>
      </c>
      <c r="C171" s="62">
        <v>3.1</v>
      </c>
      <c r="D171" s="63">
        <f>A171*(B166/B171)</f>
        <v>1333.3333333333335</v>
      </c>
      <c r="E171" s="63">
        <f>A171*SQRT(C166/C171)</f>
        <v>1338.6964074464149</v>
      </c>
    </row>
    <row r="172" spans="1:5" x14ac:dyDescent="0.3">
      <c r="A172" s="9">
        <v>1500</v>
      </c>
      <c r="B172" s="61">
        <v>11.2</v>
      </c>
      <c r="C172" s="62">
        <v>4.8</v>
      </c>
      <c r="D172" s="63">
        <f>A172*(B166/B172)</f>
        <v>1339.2857142857144</v>
      </c>
      <c r="E172" s="63">
        <f>A172*SQRT(C166/C172)</f>
        <v>1344.7833987926206</v>
      </c>
    </row>
    <row r="173" spans="1:5" x14ac:dyDescent="0.3">
      <c r="B173" s="9"/>
      <c r="C173" s="9"/>
      <c r="D173" s="9"/>
      <c r="E173" s="9"/>
    </row>
    <row r="175" spans="1:5" ht="59.25" customHeight="1" x14ac:dyDescent="0.3"/>
    <row r="176" spans="1:5" x14ac:dyDescent="0.3">
      <c r="A176" s="41" t="s">
        <v>54</v>
      </c>
    </row>
    <row r="177" spans="1:14" x14ac:dyDescent="0.3">
      <c r="A177" s="39" t="s">
        <v>46</v>
      </c>
    </row>
    <row r="178" spans="1:14" x14ac:dyDescent="0.3">
      <c r="A178" s="40" t="s">
        <v>86</v>
      </c>
    </row>
    <row r="179" spans="1:14" x14ac:dyDescent="0.3">
      <c r="C179" s="9" t="s">
        <v>78</v>
      </c>
      <c r="D179" s="9" t="s">
        <v>78</v>
      </c>
      <c r="E179" s="9" t="s">
        <v>78</v>
      </c>
      <c r="F179" s="9" t="s">
        <v>78</v>
      </c>
      <c r="G179" s="9" t="s">
        <v>78</v>
      </c>
      <c r="H179" s="9"/>
      <c r="I179" s="9" t="s">
        <v>50</v>
      </c>
      <c r="J179" s="9" t="s">
        <v>51</v>
      </c>
      <c r="L179" s="5" t="s">
        <v>77</v>
      </c>
      <c r="M179" s="31">
        <v>7000</v>
      </c>
      <c r="N179" s="3" t="s">
        <v>40</v>
      </c>
    </row>
    <row r="180" spans="1:14" x14ac:dyDescent="0.3">
      <c r="C180" s="9" t="s">
        <v>81</v>
      </c>
      <c r="D180" s="9" t="s">
        <v>82</v>
      </c>
      <c r="E180" s="9" t="s">
        <v>83</v>
      </c>
      <c r="F180" s="9" t="s">
        <v>84</v>
      </c>
      <c r="G180" s="9" t="s">
        <v>85</v>
      </c>
      <c r="H180" s="9" t="s">
        <v>15</v>
      </c>
      <c r="I180" s="9" t="s">
        <v>79</v>
      </c>
      <c r="J180" s="9" t="s">
        <v>80</v>
      </c>
      <c r="L180" s="5" t="s">
        <v>76</v>
      </c>
      <c r="M180" s="46">
        <v>0.8</v>
      </c>
    </row>
    <row r="181" spans="1:14" ht="18" x14ac:dyDescent="0.3">
      <c r="C181" s="9" t="s">
        <v>13</v>
      </c>
      <c r="D181" s="9" t="s">
        <v>106</v>
      </c>
      <c r="E181" s="9" t="s">
        <v>106</v>
      </c>
      <c r="F181" s="16" t="s">
        <v>30</v>
      </c>
      <c r="G181" s="9" t="s">
        <v>16</v>
      </c>
      <c r="H181" s="9" t="s">
        <v>16</v>
      </c>
      <c r="I181" s="9" t="s">
        <v>16</v>
      </c>
      <c r="J181" s="9" t="s">
        <v>4</v>
      </c>
      <c r="L181" s="5" t="s">
        <v>93</v>
      </c>
      <c r="M181" s="46">
        <v>0.95</v>
      </c>
    </row>
    <row r="182" spans="1:14" x14ac:dyDescent="0.3">
      <c r="C182" s="9"/>
      <c r="D182" s="9"/>
      <c r="E182" s="9"/>
      <c r="F182" s="9"/>
      <c r="G182" s="9"/>
      <c r="H182" s="9"/>
      <c r="I182" s="9"/>
      <c r="J182" s="9"/>
    </row>
    <row r="183" spans="1:14" x14ac:dyDescent="0.3">
      <c r="A183" s="3" t="s">
        <v>47</v>
      </c>
      <c r="C183" s="62">
        <f>C171*(E171/A171)^2</f>
        <v>3.8580104312922274</v>
      </c>
      <c r="D183" s="64">
        <f>$B$166</f>
        <v>10</v>
      </c>
      <c r="E183" s="64">
        <v>10</v>
      </c>
      <c r="F183" s="48">
        <v>0.42199999999999999</v>
      </c>
      <c r="G183" s="49">
        <f>Densitet*Tyngdacc*(D183/3600)*C183</f>
        <v>104.94154884105832</v>
      </c>
      <c r="H183" s="49">
        <f>(Densitet*Tyngdacc*(E183/3600)*C183)/F183</f>
        <v>248.67665602146522</v>
      </c>
      <c r="I183" s="49">
        <f>H183/(Verkningsgrad_elmotor*Verkningsgrad_frekvensomriktare)</f>
        <v>327.20612634403318</v>
      </c>
      <c r="J183" s="63">
        <f>(I183*Årlig_drifttid)/1000</f>
        <v>2290.4428844082322</v>
      </c>
    </row>
    <row r="184" spans="1:14" x14ac:dyDescent="0.3">
      <c r="A184" s="3" t="s">
        <v>120</v>
      </c>
      <c r="C184" s="62">
        <f>C172*(E172/A172)^2</f>
        <v>3.8580104312922292</v>
      </c>
      <c r="D184" s="64">
        <f t="shared" ref="D184:D185" si="45">$B$166</f>
        <v>10</v>
      </c>
      <c r="E184" s="64">
        <v>10</v>
      </c>
      <c r="F184" s="48">
        <v>0.46300000000000002</v>
      </c>
      <c r="G184" s="49">
        <f>Densitet*Tyngdacc*(D184/3600)*C184</f>
        <v>104.94154884105838</v>
      </c>
      <c r="H184" s="49">
        <f>(Densitet*Tyngdacc*(E184/3600)*C184)/F184</f>
        <v>226.65561304764228</v>
      </c>
      <c r="I184" s="49">
        <f>H184/(Verkningsgrad_elmotor*Verkningsgrad_frekvensomriktare)</f>
        <v>298.23106979952928</v>
      </c>
      <c r="J184" s="65">
        <f>(I184*Årlig_drifttid)/1000</f>
        <v>2087.6174885967052</v>
      </c>
    </row>
    <row r="185" spans="1:14" x14ac:dyDescent="0.3">
      <c r="A185" s="3" t="s">
        <v>48</v>
      </c>
      <c r="C185" s="47">
        <v>5.15</v>
      </c>
      <c r="D185" s="64">
        <f t="shared" si="45"/>
        <v>10</v>
      </c>
      <c r="E185" s="64">
        <v>10</v>
      </c>
      <c r="F185" s="48">
        <v>0.46300000000000002</v>
      </c>
      <c r="G185" s="49">
        <f>Densitet*Tyngdacc*(D185/3600)*C185</f>
        <v>140.08489250000002</v>
      </c>
      <c r="H185" s="49">
        <f>(Densitet*Tyngdacc*(E185/3600)*C185)/F185</f>
        <v>302.55916306695468</v>
      </c>
      <c r="I185" s="49">
        <f>H185/Verkningsgrad_elmotor</f>
        <v>378.19895383369334</v>
      </c>
      <c r="J185" s="63">
        <f>(I185*Årlig_drifttid)/1000</f>
        <v>2647.3926768358533</v>
      </c>
    </row>
    <row r="186" spans="1:14" x14ac:dyDescent="0.3">
      <c r="A186" s="3" t="s">
        <v>49</v>
      </c>
      <c r="C186" s="47">
        <v>4.5999999999999996</v>
      </c>
      <c r="D186" s="64">
        <v>10</v>
      </c>
      <c r="E186" s="64">
        <v>11.9</v>
      </c>
      <c r="F186" s="48">
        <v>0.46700000000000003</v>
      </c>
      <c r="G186" s="49">
        <f>Densitet*Tyngdacc*(D186/3600)*C186</f>
        <v>125.12437</v>
      </c>
      <c r="H186" s="49">
        <f>(Densitet*Tyngdacc*(E186/3600)*C186)/F186</f>
        <v>318.83940107066383</v>
      </c>
      <c r="I186" s="49">
        <f>H186/Verkningsgrad_elmotor</f>
        <v>398.54925133832978</v>
      </c>
      <c r="J186" s="66">
        <f>(I186*Årlig_drifttid)/1000</f>
        <v>2789.8447593683081</v>
      </c>
    </row>
    <row r="187" spans="1:14" x14ac:dyDescent="0.3">
      <c r="A187" s="3" t="s">
        <v>52</v>
      </c>
      <c r="C187" s="47">
        <v>4.5999999999999996</v>
      </c>
      <c r="D187" s="64">
        <v>11.9</v>
      </c>
      <c r="E187" s="64">
        <v>11.9</v>
      </c>
      <c r="F187" s="48">
        <v>0.46700000000000003</v>
      </c>
      <c r="G187" s="49">
        <f>Densitet*Tyngdacc*(D187/3600)*C187</f>
        <v>148.89800030000001</v>
      </c>
      <c r="H187" s="49">
        <f>(Densitet*Tyngdacc*(E187/3600)*C187)/F187</f>
        <v>318.83940107066383</v>
      </c>
      <c r="I187" s="49">
        <f>H187/Verkningsgrad_elmotor</f>
        <v>398.54925133832978</v>
      </c>
      <c r="J187" s="63">
        <f>(I187*(B166/E187)*Årlig_drifttid)/1000</f>
        <v>2344.4073608137046</v>
      </c>
    </row>
  </sheetData>
  <pageMargins left="0.7" right="0.7" top="0.75" bottom="0.75" header="0.3" footer="0.3"/>
  <pageSetup paperSize="9" orientation="portrait" r:id="rId1"/>
  <drawing r:id="rId2"/>
</worksheet>
</file>

<file path=docMetadata/LabelInfo.xml><?xml version="1.0" encoding="utf-8"?>
<clbl:labelList xmlns:clbl="http://schemas.microsoft.com/office/2020/mipLabelMetadata">
  <clbl:label id="{da48a9ac-7937-4134-8b13-3620bf967764}" enabled="1" method="Privileged" siteId="{5a4ba6f9-f531-4f32-9467-398f19e69de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26</vt:i4>
      </vt:variant>
    </vt:vector>
  </HeadingPairs>
  <TitlesOfParts>
    <vt:vector size="27" baseType="lpstr">
      <vt:lpstr>Sheet1</vt:lpstr>
      <vt:lpstr>delta_z</vt:lpstr>
      <vt:lpstr>Densitet</vt:lpstr>
      <vt:lpstr>Dynamisk_viskositet</vt:lpstr>
      <vt:lpstr>Engångs_sug</vt:lpstr>
      <vt:lpstr>Engångs_tryck</vt:lpstr>
      <vt:lpstr>Euler_rpm</vt:lpstr>
      <vt:lpstr>Euler_u2</vt:lpstr>
      <vt:lpstr>H_stat</vt:lpstr>
      <vt:lpstr>Hpv</vt:lpstr>
      <vt:lpstr>Hävarm</vt:lpstr>
      <vt:lpstr>PumpDiam_sug</vt:lpstr>
      <vt:lpstr>PumpDiam_tryck</vt:lpstr>
      <vt:lpstr>PumphjulsDiam</vt:lpstr>
      <vt:lpstr>PumphjulsÖppning</vt:lpstr>
      <vt:lpstr>Qpv</vt:lpstr>
      <vt:lpstr>RörDiam_sug</vt:lpstr>
      <vt:lpstr>RörDiam_tryck</vt:lpstr>
      <vt:lpstr>RörLängd_sug</vt:lpstr>
      <vt:lpstr>RörLängd_tryck</vt:lpstr>
      <vt:lpstr>Skovelvinkel</vt:lpstr>
      <vt:lpstr>Tyngdacc</vt:lpstr>
      <vt:lpstr>Verkningsgrad_elmotor</vt:lpstr>
      <vt:lpstr>Verkningsgrad_frekvensomriktare</vt:lpstr>
      <vt:lpstr>Ytråhet</vt:lpstr>
      <vt:lpstr>Årlig_drifttid</vt:lpstr>
      <vt:lpstr>π</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2026-06-04T14:16:21Z</dcterms:modified>
</cp:coreProperties>
</file>